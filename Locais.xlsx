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ção Saúde Digital Móvel" sheetId="1" state="visible" r:id="rId3"/>
    <sheet name="Municípios e CNES" sheetId="2" state="visible" r:id="rId4"/>
    <sheet name="Resumo por Ano" sheetId="3" state="visible" r:id="rId5"/>
    <sheet name="Página1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<sst xmlns="http://schemas.openxmlformats.org/spreadsheetml/2006/main" count="518" uniqueCount="211">
  <si>
    <t xml:space="preserve">PRODUÇÃO — SAÚDE DIGITAL MÓVEL  |  TELESSAÚDE UFVJM-   CNES 3121605</t>
  </si>
  <si>
    <t xml:space="preserve">Ano</t>
  </si>
  <si>
    <t xml:space="preserve">Data</t>
  </si>
  <si>
    <t xml:space="preserve">Local / Distrito</t>
  </si>
  <si>
    <t xml:space="preserve">Nº
Munic.</t>
  </si>
  <si>
    <t xml:space="preserve">CNES</t>
  </si>
  <si>
    <t xml:space="preserve">Município</t>
  </si>
  <si>
    <t xml:space="preserve">Telediagnóstico
ECG</t>
  </si>
  <si>
    <t xml:space="preserve">Telediagnóstico
Retinografia</t>
  </si>
  <si>
    <t xml:space="preserve">Teleconsultoria
Dermatoscopia</t>
  </si>
  <si>
    <t xml:space="preserve">Atividades
Odontológicas</t>
  </si>
  <si>
    <t xml:space="preserve">Rastreamento
Lesões Bucais</t>
  </si>
  <si>
    <t xml:space="preserve">Escovação
Supervisionada</t>
  </si>
  <si>
    <t xml:space="preserve">Tomadas
Radiográficas</t>
  </si>
  <si>
    <t xml:space="preserve">── 2022 ──</t>
  </si>
  <si>
    <t xml:space="preserve">27-28 Jul 2022</t>
  </si>
  <si>
    <t xml:space="preserve">Vila Alexandre Mascarenhas</t>
  </si>
  <si>
    <t xml:space="preserve">6515762</t>
  </si>
  <si>
    <t xml:space="preserve">Gouveia</t>
  </si>
  <si>
    <t xml:space="preserve">8-20 Ago 2022</t>
  </si>
  <si>
    <t xml:space="preserve">Cazuza</t>
  </si>
  <si>
    <t xml:space="preserve">4040376</t>
  </si>
  <si>
    <t xml:space="preserve">Diamantina</t>
  </si>
  <si>
    <t xml:space="preserve">3-7 Out 2022</t>
  </si>
  <si>
    <t xml:space="preserve">Vila Nova dos Poções</t>
  </si>
  <si>
    <t xml:space="preserve">6518877</t>
  </si>
  <si>
    <t xml:space="preserve">Janaúba</t>
  </si>
  <si>
    <t xml:space="preserve">24-26 Out 2022</t>
  </si>
  <si>
    <t xml:space="preserve">Campus JK</t>
  </si>
  <si>
    <t xml:space="preserve">SUBTOTAL 2022</t>
  </si>
  <si>
    <t xml:space="preserve">── 2023 ──</t>
  </si>
  <si>
    <t xml:space="preserve">21-23 Mar 2023</t>
  </si>
  <si>
    <t xml:space="preserve">São João da Chapada/Guinda/Sopa</t>
  </si>
  <si>
    <t xml:space="preserve">15-19 Mai 2023</t>
  </si>
  <si>
    <t xml:space="preserve">Couto Magalhães</t>
  </si>
  <si>
    <t xml:space="preserve">7122152</t>
  </si>
  <si>
    <t xml:space="preserve">Couto de Magalhães</t>
  </si>
  <si>
    <t xml:space="preserve">24 Jun 2023</t>
  </si>
  <si>
    <t xml:space="preserve">Senador Mourão</t>
  </si>
  <si>
    <t xml:space="preserve">4-7 Jul 2023</t>
  </si>
  <si>
    <t xml:space="preserve">Presidente Kubitschek</t>
  </si>
  <si>
    <t xml:space="preserve">6793096</t>
  </si>
  <si>
    <t xml:space="preserve">15 Jul 2023</t>
  </si>
  <si>
    <t xml:space="preserve">Planalto de Minas</t>
  </si>
  <si>
    <t xml:space="preserve">23 Ago 2023</t>
  </si>
  <si>
    <t xml:space="preserve">São Gonçalo Rio Preto</t>
  </si>
  <si>
    <t xml:space="preserve">7613482</t>
  </si>
  <si>
    <t xml:space="preserve">26-28 Set 2023</t>
  </si>
  <si>
    <t xml:space="preserve">Felício dos Santos</t>
  </si>
  <si>
    <t xml:space="preserve">7470509</t>
  </si>
  <si>
    <t xml:space="preserve">17-20 Out 2023</t>
  </si>
  <si>
    <t xml:space="preserve">Minas Novas</t>
  </si>
  <si>
    <t xml:space="preserve">6524907</t>
  </si>
  <si>
    <t xml:space="preserve">27 Out 2023</t>
  </si>
  <si>
    <t xml:space="preserve">Out 2023</t>
  </si>
  <si>
    <t xml:space="preserve">PK zona rural</t>
  </si>
  <si>
    <t xml:space="preserve">7-10 Nov 2023</t>
  </si>
  <si>
    <t xml:space="preserve">Itamarandiba</t>
  </si>
  <si>
    <t xml:space="preserve">6828612</t>
  </si>
  <si>
    <t xml:space="preserve">23 Nov 2023</t>
  </si>
  <si>
    <t xml:space="preserve">25 Nov 2023</t>
  </si>
  <si>
    <t xml:space="preserve">Extração</t>
  </si>
  <si>
    <t xml:space="preserve">13-15 Dez 2023</t>
  </si>
  <si>
    <t xml:space="preserve">Serro</t>
  </si>
  <si>
    <t xml:space="preserve">6514359</t>
  </si>
  <si>
    <t xml:space="preserve">16 Dez 2023</t>
  </si>
  <si>
    <t xml:space="preserve">Guinda</t>
  </si>
  <si>
    <t xml:space="preserve">18 Dez 2023</t>
  </si>
  <si>
    <t xml:space="preserve">Vila Operária</t>
  </si>
  <si>
    <t xml:space="preserve">SUBTOTAL 2023</t>
  </si>
  <si>
    <t xml:space="preserve">── 2024 ──</t>
  </si>
  <si>
    <t xml:space="preserve">22-25 Jan 2024</t>
  </si>
  <si>
    <t xml:space="preserve">Senador Modestino Gonçalves</t>
  </si>
  <si>
    <t xml:space="preserve">7232659</t>
  </si>
  <si>
    <t xml:space="preserve">27 Jan 2024</t>
  </si>
  <si>
    <t xml:space="preserve">Mendanha</t>
  </si>
  <si>
    <t xml:space="preserve">21 Fev 2024</t>
  </si>
  <si>
    <t xml:space="preserve">Gruta de Lourdes</t>
  </si>
  <si>
    <t xml:space="preserve">27-29 Fev 2024</t>
  </si>
  <si>
    <t xml:space="preserve">Virgem da Lapa</t>
  </si>
  <si>
    <t xml:space="preserve">6530559</t>
  </si>
  <si>
    <t xml:space="preserve">Mar 2024</t>
  </si>
  <si>
    <t xml:space="preserve">Jardim Imperial</t>
  </si>
  <si>
    <t xml:space="preserve">7 Mar 2024</t>
  </si>
  <si>
    <t xml:space="preserve">Rio Grande</t>
  </si>
  <si>
    <t xml:space="preserve">18-21 Mar 2024</t>
  </si>
  <si>
    <t xml:space="preserve">Datas</t>
  </si>
  <si>
    <t xml:space="preserve">2133547</t>
  </si>
  <si>
    <t xml:space="preserve">23 Mar 2024</t>
  </si>
  <si>
    <t xml:space="preserve">São João Chapada</t>
  </si>
  <si>
    <t xml:space="preserve">Palha</t>
  </si>
  <si>
    <t xml:space="preserve">1 Abr 2024</t>
  </si>
  <si>
    <t xml:space="preserve">Largo</t>
  </si>
  <si>
    <t xml:space="preserve">Abr 2024</t>
  </si>
  <si>
    <t xml:space="preserve">Gruta</t>
  </si>
  <si>
    <t xml:space="preserve">Arraial dos Forros</t>
  </si>
  <si>
    <t xml:space="preserve">Congonhas do Norte</t>
  </si>
  <si>
    <t xml:space="preserve">6884962</t>
  </si>
  <si>
    <t xml:space="preserve">Diamantina (centro)</t>
  </si>
  <si>
    <t xml:space="preserve">Inhaí</t>
  </si>
  <si>
    <t xml:space="preserve">22 Mai 2024</t>
  </si>
  <si>
    <t xml:space="preserve">Maria Nunes Mendanha</t>
  </si>
  <si>
    <t xml:space="preserve">25 Mai 2024</t>
  </si>
  <si>
    <t xml:space="preserve">18-21 Jun 2024</t>
  </si>
  <si>
    <t xml:space="preserve">Carbonita</t>
  </si>
  <si>
    <t xml:space="preserve">7014317</t>
  </si>
  <si>
    <t xml:space="preserve">Jun 2024</t>
  </si>
  <si>
    <t xml:space="preserve">Planalto</t>
  </si>
  <si>
    <t xml:space="preserve">PK</t>
  </si>
  <si>
    <t xml:space="preserve">2-3 Jul 2024</t>
  </si>
  <si>
    <t xml:space="preserve">Santo Antônio do Itambé</t>
  </si>
  <si>
    <t xml:space="preserve">7087632</t>
  </si>
  <si>
    <t xml:space="preserve">5 Jul 2024</t>
  </si>
  <si>
    <t xml:space="preserve">Conselheiro Mata</t>
  </si>
  <si>
    <t xml:space="preserve">Jul 2024</t>
  </si>
  <si>
    <t xml:space="preserve">Ago 2024</t>
  </si>
  <si>
    <t xml:space="preserve">Largo Dom João</t>
  </si>
  <si>
    <t xml:space="preserve">10 Ago 2024</t>
  </si>
  <si>
    <t xml:space="preserve">Capivari</t>
  </si>
  <si>
    <t xml:space="preserve">17 Ago 2024</t>
  </si>
  <si>
    <t xml:space="preserve">Sopa</t>
  </si>
  <si>
    <t xml:space="preserve">20-21 Ago 2024</t>
  </si>
  <si>
    <t xml:space="preserve">Jenipapo</t>
  </si>
  <si>
    <t xml:space="preserve">7164920</t>
  </si>
  <si>
    <t xml:space="preserve">Jenipapo de Minas</t>
  </si>
  <si>
    <t xml:space="preserve">Set 2024</t>
  </si>
  <si>
    <t xml:space="preserve">Diamantina (regulação)</t>
  </si>
  <si>
    <t xml:space="preserve">24 Set 2024</t>
  </si>
  <si>
    <t xml:space="preserve">Diamantina UBS ESAC</t>
  </si>
  <si>
    <t xml:space="preserve">2024</t>
  </si>
  <si>
    <t xml:space="preserve">São João da Lagoa</t>
  </si>
  <si>
    <t xml:space="preserve">6642241</t>
  </si>
  <si>
    <t xml:space="preserve">Out 2024</t>
  </si>
  <si>
    <t xml:space="preserve">Couto de Magalhães ESAC</t>
  </si>
  <si>
    <t xml:space="preserve">UFVJM (Servidor)</t>
  </si>
  <si>
    <t xml:space="preserve">Nov 2024</t>
  </si>
  <si>
    <t xml:space="preserve">Chapada do Norte</t>
  </si>
  <si>
    <t xml:space="preserve">6584098</t>
  </si>
  <si>
    <t xml:space="preserve">Ago-Nov 2024</t>
  </si>
  <si>
    <t xml:space="preserve">Porto Alegre</t>
  </si>
  <si>
    <t xml:space="preserve">Dez 2024</t>
  </si>
  <si>
    <t xml:space="preserve">São João da Chapada</t>
  </si>
  <si>
    <t xml:space="preserve">Diamantina EX (1)</t>
  </si>
  <si>
    <t xml:space="preserve">Diamantina EX (2)</t>
  </si>
  <si>
    <t xml:space="preserve">SUBTOTAL 2024</t>
  </si>
  <si>
    <t xml:space="preserve">── 2025 ──</t>
  </si>
  <si>
    <t xml:space="preserve">Fev 2025</t>
  </si>
  <si>
    <t xml:space="preserve">Diamantina ESAC</t>
  </si>
  <si>
    <t xml:space="preserve">São Gonçalo Rio das Pedras</t>
  </si>
  <si>
    <t xml:space="preserve">José Gonçalves de Minas</t>
  </si>
  <si>
    <t xml:space="preserve">7242565</t>
  </si>
  <si>
    <t xml:space="preserve">Mar 2025</t>
  </si>
  <si>
    <t xml:space="preserve">Teófilo Otoni</t>
  </si>
  <si>
    <t xml:space="preserve">2220164</t>
  </si>
  <si>
    <t xml:space="preserve">Abr 2025</t>
  </si>
  <si>
    <t xml:space="preserve">Diamantina (Palha/Centro/Vila)</t>
  </si>
  <si>
    <t xml:space="preserve">Rio Vermelho</t>
  </si>
  <si>
    <t xml:space="preserve">6742955</t>
  </si>
  <si>
    <t xml:space="preserve">Mai 2025</t>
  </si>
  <si>
    <t xml:space="preserve">Monjolos</t>
  </si>
  <si>
    <t xml:space="preserve">6511082</t>
  </si>
  <si>
    <t xml:space="preserve">Jun 2025</t>
  </si>
  <si>
    <t xml:space="preserve">Diamantina (distritos regulação)</t>
  </si>
  <si>
    <t xml:space="preserve">Jul 2025</t>
  </si>
  <si>
    <t xml:space="preserve">Diamantina (ESF/regulação)</t>
  </si>
  <si>
    <t xml:space="preserve">Araçuaí</t>
  </si>
  <si>
    <t xml:space="preserve">6518540</t>
  </si>
  <si>
    <t xml:space="preserve">Ago 2025</t>
  </si>
  <si>
    <t xml:space="preserve">Set 2025</t>
  </si>
  <si>
    <t xml:space="preserve">Out 2025</t>
  </si>
  <si>
    <t xml:space="preserve">Capelinha</t>
  </si>
  <si>
    <t xml:space="preserve">7649002</t>
  </si>
  <si>
    <t xml:space="preserve">Nov 2025</t>
  </si>
  <si>
    <t xml:space="preserve">Jaboticatubas</t>
  </si>
  <si>
    <t xml:space="preserve">6596487</t>
  </si>
  <si>
    <t xml:space="preserve">Dez 2025</t>
  </si>
  <si>
    <t xml:space="preserve">SUBTOTAL 2025</t>
  </si>
  <si>
    <t xml:space="preserve">── 2026 ──</t>
  </si>
  <si>
    <t xml:space="preserve">10-12 Fev 2026</t>
  </si>
  <si>
    <t xml:space="preserve">Peçanha</t>
  </si>
  <si>
    <t xml:space="preserve">2119358</t>
  </si>
  <si>
    <t xml:space="preserve">abril</t>
  </si>
  <si>
    <t xml:space="preserve">Diamantina ( Cazuza)</t>
  </si>
  <si>
    <t xml:space="preserve">Diamantina ( PALHA)</t>
  </si>
  <si>
    <t xml:space="preserve">Francisco Badaró</t>
  </si>
  <si>
    <t xml:space="preserve">Francisco Badaró </t>
  </si>
  <si>
    <t xml:space="preserve">MAIO</t>
  </si>
  <si>
    <t xml:space="preserve">UFVJM\ quem ama e esac</t>
  </si>
  <si>
    <t xml:space="preserve">Junho</t>
  </si>
  <si>
    <t xml:space="preserve">JULHO</t>
  </si>
  <si>
    <t xml:space="preserve">AGOSTO </t>
  </si>
  <si>
    <t xml:space="preserve">TOTAL GERAL</t>
  </si>
  <si>
    <t xml:space="preserve">ufmg</t>
  </si>
  <si>
    <t xml:space="preserve">MUNICÍPIOS ATENDIDOS — TOTAL: 28  |  TELESSAÚDE UFVJM</t>
  </si>
  <si>
    <t xml:space="preserve">Nº</t>
  </si>
  <si>
    <t xml:space="preserve">Dia do Atendimento</t>
  </si>
  <si>
    <t xml:space="preserve">Observação</t>
  </si>
  <si>
    <t xml:space="preserve">21 Ago 2024</t>
  </si>
  <si>
    <t xml:space="preserve">RESUMO DE PRODUÇÃO POR ANO</t>
  </si>
  <si>
    <t xml:space="preserve">ECG</t>
  </si>
  <si>
    <t xml:space="preserve">Retinografia</t>
  </si>
  <si>
    <t xml:space="preserve">Dermatoscopia</t>
  </si>
  <si>
    <t xml:space="preserve">Odontologia</t>
  </si>
  <si>
    <t xml:space="preserve">Rastr. Lesões</t>
  </si>
  <si>
    <t xml:space="preserve">Escovação</t>
  </si>
  <si>
    <t xml:space="preserve">Radiografia</t>
  </si>
  <si>
    <t xml:space="preserve">TOTAL</t>
  </si>
  <si>
    <t xml:space="preserve">Distância até Diamantina (km)</t>
  </si>
  <si>
    <t xml:space="preserve">Ida e volta (km)</t>
  </si>
  <si>
    <t xml:space="preserve">Couto de Magalhães de Minas</t>
  </si>
  <si>
    <t xml:space="preserve">São Gonçalo do Rio Preto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</si>
</sst>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1A3A5C"/>
        <bgColor rgb="FF1F4E79"/>
      </patternFill>
    </fill>
    <fill>
      <patternFill patternType="solid">
        <fgColor rgb="FF1F4E79"/>
        <bgColor rgb="FF1A3A5C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DAE8FC"/>
      </patternFill>
    </fill>
    <fill>
      <patternFill patternType="solid">
        <fgColor rgb="FFFFF2CC"/>
        <bgColor rgb="FFFDE9D9"/>
      </patternFill>
    </fill>
    <fill>
      <patternFill patternType="solid">
        <fgColor rgb="FFF8CECC"/>
        <bgColor rgb="FFEAD1DC"/>
      </patternFill>
    </fill>
    <fill>
      <patternFill patternType="solid">
        <fgColor rgb="FFD6E4F0"/>
        <bgColor rgb="FFD9E1F2"/>
      </patternFill>
    </fill>
    <fill>
      <patternFill patternType="solid">
        <fgColor rgb="FFCFE2F3"/>
        <bgColor rgb="FFD6E4F0"/>
      </patternFill>
    </fill>
    <fill>
      <patternFill patternType="solid">
        <fgColor rgb="FFFDE9D9"/>
        <bgColor rgb="FFFCE4D6"/>
      </patternFill>
    </fill>
    <fill>
      <patternFill patternType="solid">
        <fgColor rgb="FFD9D2E9"/>
        <bgColor rgb="FFEAD1DC"/>
      </patternFill>
    </fill>
    <fill>
      <patternFill patternType="solid">
        <fgColor rgb="FFD9EAD3"/>
        <bgColor rgb="FFD5E8D4"/>
      </patternFill>
    </fill>
    <fill>
      <patternFill patternType="solid">
        <fgColor rgb="FFFFE599"/>
        <bgColor rgb="FFFFDAB9"/>
      </patternFill>
    </fill>
    <fill>
      <patternFill patternType="solid">
        <fgColor rgb="FF93C47D"/>
        <bgColor rgb="FFAAAAAA"/>
      </patternFill>
    </fill>
    <fill>
      <patternFill patternType="solid">
        <fgColor rgb="FFFCE4D6"/>
        <bgColor rgb="FFFDE9D9"/>
      </patternFill>
    </fill>
    <fill>
      <patternFill patternType="solid">
        <fgColor rgb="FFEAD1DC"/>
        <bgColor rgb="FFF8CECC"/>
      </patternFill>
    </fill>
    <fill>
      <patternFill patternType="solid">
        <fgColor rgb="FFEA9999"/>
        <bgColor rgb="FFFFB6C1"/>
      </patternFill>
    </fill>
    <fill>
      <patternFill patternType="solid">
        <fgColor rgb="FFE2EFDA"/>
        <bgColor rgb="FFD9EAD3"/>
      </patternFill>
    </fill>
    <fill>
      <patternFill patternType="solid">
        <fgColor rgb="FF76A5AF"/>
        <bgColor rgb="FF6FA8DC"/>
      </patternFill>
    </fill>
    <fill>
      <patternFill patternType="solid">
        <fgColor rgb="FFC9DAF8"/>
        <bgColor rgb="FFCFE2F3"/>
      </patternFill>
    </fill>
    <fill>
      <patternFill patternType="solid">
        <fgColor rgb="FFE06666"/>
        <bgColor rgb="FFEA9999"/>
      </patternFill>
    </fill>
    <fill>
      <patternFill patternType="solid">
        <fgColor rgb="FFA4C2F4"/>
        <bgColor rgb="FFADD8E6"/>
      </patternFill>
    </fill>
    <fill>
      <patternFill patternType="solid">
        <fgColor rgb="FFF9CB9C"/>
        <bgColor rgb="FFFFDAB9"/>
      </patternFill>
    </fill>
    <fill>
      <patternFill patternType="solid">
        <fgColor rgb="FFB6D7A8"/>
        <bgColor rgb="FFC0C0C0"/>
      </patternFill>
    </fill>
    <fill>
      <patternFill patternType="solid">
        <fgColor rgb="FFDAE8FC"/>
        <bgColor rgb="FFDDEEFF"/>
      </patternFill>
    </fill>
    <fill>
      <patternFill patternType="solid">
        <fgColor rgb="FFC0C0C0"/>
        <bgColor rgb="FFB6D7A8"/>
      </patternFill>
    </fill>
    <fill>
      <patternFill patternType="solid">
        <fgColor rgb="FFB4A7D6"/>
        <bgColor rgb="FFAAAAAA"/>
      </patternFill>
    </fill>
    <fill>
      <patternFill patternType="solid">
        <fgColor rgb="FF6FA8DC"/>
        <bgColor rgb="FF76A5AF"/>
      </patternFill>
    </fill>
    <fill>
      <patternFill patternType="solid">
        <fgColor rgb="FFFFDAB9"/>
        <bgColor rgb="FFF8CECC"/>
      </patternFill>
    </fill>
    <fill>
      <patternFill patternType="solid">
        <fgColor rgb="FFFFD966"/>
        <bgColor rgb="FFFFE599"/>
      </patternFill>
    </fill>
    <fill>
      <patternFill patternType="solid">
        <fgColor rgb="FFADD8E6"/>
        <bgColor rgb="FFC9DAF8"/>
      </patternFill>
    </fill>
    <fill>
      <patternFill patternType="solid">
        <fgColor rgb="FFD5E8D4"/>
        <bgColor rgb="FFD9EAD3"/>
      </patternFill>
    </fill>
    <fill>
      <patternFill patternType="solid">
        <fgColor rgb="FFFFB6C1"/>
        <bgColor rgb="FFF8CECC"/>
      </patternFill>
    </fill>
    <fill>
      <patternFill patternType="solid">
        <fgColor rgb="FFD9E1F2"/>
        <bgColor rgb="FFD6E4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/>
      <top style="thin">
        <color rgb="FFAAAAAA"/>
      </top>
      <bottom style="thin">
        <color rgb="FFAAAAAA"/>
      </bottom>
      <diagonal/>
    </border>
    <border diagonalUp="false" diagonalDown="false"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E2EFDA"/>
      <rgbColor rgb="FF0000FF"/>
      <rgbColor rgb="FFFFDAB9"/>
      <rgbColor rgb="FFFF00FF"/>
      <rgbColor rgb="FFD5E8D4"/>
      <rgbColor rgb="FF800000"/>
      <rgbColor rgb="FF008000"/>
      <rgbColor rgb="FF000080"/>
      <rgbColor rgb="FFEAD1DC"/>
      <rgbColor rgb="FF800080"/>
      <rgbColor rgb="FFD9E1F2"/>
      <rgbColor rgb="FFC0C0C0"/>
      <rgbColor rgb="FF76A5AF"/>
      <rgbColor rgb="FF6FA8DC"/>
      <rgbColor rgb="FFFCE4D6"/>
      <rgbColor rgb="FFFFF2CC"/>
      <rgbColor rgb="FFDDEEFF"/>
      <rgbColor rgb="FF660066"/>
      <rgbColor rgb="FFE06666"/>
      <rgbColor rgb="FF0066CC"/>
      <rgbColor rgb="FFC9DAF8"/>
      <rgbColor rgb="FF000080"/>
      <rgbColor rgb="FFFF00FF"/>
      <rgbColor rgb="FFFDE9D9"/>
      <rgbColor rgb="FFD6E4F0"/>
      <rgbColor rgb="FF800080"/>
      <rgbColor rgb="FF800000"/>
      <rgbColor rgb="FF008080"/>
      <rgbColor rgb="FF0000FF"/>
      <rgbColor rgb="FFCFE2F3"/>
      <rgbColor rgb="FFDAE8FC"/>
      <rgbColor rgb="FFD9EAD3"/>
      <rgbColor rgb="FFFFE599"/>
      <rgbColor rgb="FFA4C2F4"/>
      <rgbColor rgb="FFEA9999"/>
      <rgbColor rgb="FFB4A7D6"/>
      <rgbColor rgb="FFF9CB9C"/>
      <rgbColor rgb="FF2E75B6"/>
      <rgbColor rgb="FFADD8E6"/>
      <rgbColor rgb="FF93C47D"/>
      <rgbColor rgb="FFFFD966"/>
      <rgbColor rgb="FFFFB6C1"/>
      <rgbColor rgb="FFF8CECC"/>
      <rgbColor rgb="FFD9D2E9"/>
      <rgbColor rgb="FFAAAAAA"/>
      <rgbColor rgb="FF1A3A5C"/>
      <rgbColor rgb="FFB6D7A8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9" activePane="bottomLeft" state="frozen"/>
      <selection pane="topLeft" activeCell="A1" activeCellId="0" sqref="A1"/>
      <selection pane="bottomLeft" activeCell="B59" activeCellId="0" sqref="B5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26" min="14" style="0" width="8.7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9.5" hidden="false" customHeight="true" outlineLevel="0" collapsed="false">
      <c r="A3" s="3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.75" hidden="false" customHeight="true" outlineLevel="0" collapsed="false">
      <c r="A4" s="4" t="n">
        <v>2022</v>
      </c>
      <c r="B4" s="5" t="s">
        <v>15</v>
      </c>
      <c r="C4" s="5" t="s">
        <v>16</v>
      </c>
      <c r="D4" s="6" t="n">
        <v>2</v>
      </c>
      <c r="E4" s="6" t="s">
        <v>17</v>
      </c>
      <c r="F4" s="5" t="s">
        <v>18</v>
      </c>
      <c r="G4" s="4"/>
      <c r="H4" s="4"/>
      <c r="I4" s="4"/>
      <c r="J4" s="4" t="n">
        <v>439</v>
      </c>
      <c r="K4" s="4"/>
      <c r="L4" s="4"/>
      <c r="M4" s="4"/>
    </row>
    <row r="5" customFormat="false" ht="15.75" hidden="false" customHeight="true" outlineLevel="0" collapsed="false">
      <c r="A5" s="7" t="n">
        <v>2022</v>
      </c>
      <c r="B5" s="8" t="s">
        <v>19</v>
      </c>
      <c r="C5" s="8" t="s">
        <v>20</v>
      </c>
      <c r="D5" s="9" t="n">
        <v>1</v>
      </c>
      <c r="E5" s="9" t="s">
        <v>21</v>
      </c>
      <c r="F5" s="8" t="s">
        <v>22</v>
      </c>
      <c r="G5" s="7"/>
      <c r="H5" s="7"/>
      <c r="I5" s="7"/>
      <c r="J5" s="7" t="n">
        <v>75</v>
      </c>
      <c r="K5" s="7" t="n">
        <v>32</v>
      </c>
      <c r="L5" s="7" t="n">
        <v>263</v>
      </c>
      <c r="M5" s="7"/>
    </row>
    <row r="6" customFormat="false" ht="15.75" hidden="false" customHeight="true" outlineLevel="0" collapsed="false">
      <c r="A6" s="10" t="n">
        <v>2022</v>
      </c>
      <c r="B6" s="11" t="s">
        <v>23</v>
      </c>
      <c r="C6" s="11" t="s">
        <v>24</v>
      </c>
      <c r="D6" s="12" t="n">
        <v>27</v>
      </c>
      <c r="E6" s="12" t="s">
        <v>25</v>
      </c>
      <c r="F6" s="11" t="s">
        <v>26</v>
      </c>
      <c r="G6" s="10"/>
      <c r="H6" s="10"/>
      <c r="I6" s="10"/>
      <c r="J6" s="10" t="n">
        <v>215</v>
      </c>
      <c r="K6" s="10"/>
      <c r="L6" s="10"/>
      <c r="M6" s="10"/>
    </row>
    <row r="7" customFormat="false" ht="15.75" hidden="false" customHeight="true" outlineLevel="0" collapsed="false">
      <c r="A7" s="7" t="n">
        <v>2022</v>
      </c>
      <c r="B7" s="8" t="s">
        <v>27</v>
      </c>
      <c r="C7" s="8" t="s">
        <v>28</v>
      </c>
      <c r="D7" s="9" t="n">
        <v>1</v>
      </c>
      <c r="E7" s="9" t="s">
        <v>21</v>
      </c>
      <c r="F7" s="8" t="s">
        <v>22</v>
      </c>
      <c r="G7" s="7"/>
      <c r="H7" s="7"/>
      <c r="I7" s="7"/>
      <c r="J7" s="7" t="n">
        <v>203</v>
      </c>
      <c r="K7" s="7"/>
      <c r="L7" s="7"/>
      <c r="M7" s="7" t="n">
        <v>622</v>
      </c>
    </row>
    <row r="8" customFormat="false" ht="18" hidden="false" customHeight="true" outlineLevel="0" collapsed="false">
      <c r="A8" s="13" t="n">
        <v>2022</v>
      </c>
      <c r="B8" s="13" t="s">
        <v>29</v>
      </c>
      <c r="C8" s="13"/>
      <c r="D8" s="13"/>
      <c r="E8" s="13"/>
      <c r="F8" s="13"/>
      <c r="G8" s="13" t="n">
        <f aca="false">SUMIF(G4:G7,"&lt;&gt;"&amp;"")</f>
        <v>0</v>
      </c>
      <c r="H8" s="13" t="n">
        <f aca="false">SUMIF(H4:H7,"&lt;&gt;"&amp;"")</f>
        <v>0</v>
      </c>
      <c r="I8" s="13" t="n">
        <f aca="false">SUMIF(I4:I7,"&lt;&gt;"&amp;"")</f>
        <v>0</v>
      </c>
      <c r="J8" s="13" t="n">
        <f aca="false">SUMIF(J4:J7,"&lt;&gt;"&amp;"")</f>
        <v>932</v>
      </c>
      <c r="K8" s="13" t="n">
        <f aca="false">SUMIF(K4:K7,"&lt;&gt;"&amp;"")</f>
        <v>32</v>
      </c>
      <c r="L8" s="13" t="n">
        <f aca="false">SUMIF(L4:L7,"&lt;&gt;"&amp;"")</f>
        <v>263</v>
      </c>
      <c r="M8" s="13" t="n">
        <f aca="false">SUMIF(M4:M7,"&lt;&gt;"&amp;"")</f>
        <v>622</v>
      </c>
    </row>
    <row r="10" customFormat="false" ht="19.5" hidden="false" customHeight="true" outlineLevel="0" collapsed="false">
      <c r="A10" s="3" t="s">
        <v>30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5.75" hidden="false" customHeight="true" outlineLevel="0" collapsed="false">
      <c r="A11" s="7" t="n">
        <v>2023</v>
      </c>
      <c r="B11" s="8" t="s">
        <v>31</v>
      </c>
      <c r="C11" s="8" t="s">
        <v>32</v>
      </c>
      <c r="D11" s="9" t="n">
        <v>1</v>
      </c>
      <c r="E11" s="9" t="s">
        <v>21</v>
      </c>
      <c r="F11" s="8" t="s">
        <v>22</v>
      </c>
      <c r="G11" s="7" t="n">
        <v>94</v>
      </c>
      <c r="H11" s="7" t="n">
        <v>44</v>
      </c>
      <c r="I11" s="7" t="n">
        <v>2</v>
      </c>
      <c r="J11" s="7" t="n">
        <v>195</v>
      </c>
      <c r="K11" s="7" t="n">
        <v>20</v>
      </c>
      <c r="L11" s="7" t="n">
        <v>784</v>
      </c>
      <c r="M11" s="7"/>
    </row>
    <row r="12" customFormat="false" ht="15.75" hidden="false" customHeight="true" outlineLevel="0" collapsed="false">
      <c r="A12" s="14" t="n">
        <v>2023</v>
      </c>
      <c r="B12" s="15" t="s">
        <v>33</v>
      </c>
      <c r="C12" s="15" t="s">
        <v>34</v>
      </c>
      <c r="D12" s="16" t="n">
        <v>7</v>
      </c>
      <c r="E12" s="16" t="s">
        <v>35</v>
      </c>
      <c r="F12" s="15" t="s">
        <v>36</v>
      </c>
      <c r="G12" s="14" t="n">
        <v>49</v>
      </c>
      <c r="H12" s="14" t="n">
        <v>35</v>
      </c>
      <c r="I12" s="14" t="n">
        <v>19</v>
      </c>
      <c r="J12" s="14" t="n">
        <v>198</v>
      </c>
      <c r="K12" s="14" t="n">
        <v>15</v>
      </c>
      <c r="L12" s="14" t="n">
        <v>271</v>
      </c>
      <c r="M12" s="14"/>
    </row>
    <row r="13" customFormat="false" ht="15.75" hidden="false" customHeight="true" outlineLevel="0" collapsed="false">
      <c r="A13" s="7" t="n">
        <v>2023</v>
      </c>
      <c r="B13" s="8" t="s">
        <v>37</v>
      </c>
      <c r="C13" s="8" t="s">
        <v>38</v>
      </c>
      <c r="D13" s="9" t="n">
        <v>1</v>
      </c>
      <c r="E13" s="9" t="s">
        <v>21</v>
      </c>
      <c r="F13" s="8" t="s">
        <v>22</v>
      </c>
      <c r="G13" s="7"/>
      <c r="H13" s="7"/>
      <c r="I13" s="7" t="n">
        <v>4</v>
      </c>
      <c r="J13" s="7" t="n">
        <v>0</v>
      </c>
      <c r="K13" s="7" t="n">
        <v>100</v>
      </c>
      <c r="L13" s="7" t="n">
        <v>100</v>
      </c>
      <c r="M13" s="7"/>
    </row>
    <row r="14" customFormat="false" ht="15.75" hidden="false" customHeight="true" outlineLevel="0" collapsed="false">
      <c r="A14" s="17" t="n">
        <v>2023</v>
      </c>
      <c r="B14" s="18" t="s">
        <v>39</v>
      </c>
      <c r="C14" s="18" t="s">
        <v>40</v>
      </c>
      <c r="D14" s="19" t="n">
        <v>8</v>
      </c>
      <c r="E14" s="19" t="s">
        <v>41</v>
      </c>
      <c r="F14" s="18" t="s">
        <v>40</v>
      </c>
      <c r="G14" s="17" t="n">
        <v>62</v>
      </c>
      <c r="H14" s="17" t="n">
        <v>52</v>
      </c>
      <c r="I14" s="17" t="n">
        <v>72</v>
      </c>
      <c r="J14" s="17" t="n">
        <v>280</v>
      </c>
      <c r="K14" s="17"/>
      <c r="L14" s="17" t="n">
        <v>280</v>
      </c>
      <c r="M14" s="17"/>
      <c r="R14" s="20" t="n">
        <v>1829</v>
      </c>
    </row>
    <row r="15" customFormat="false" ht="15.75" hidden="false" customHeight="true" outlineLevel="0" collapsed="false">
      <c r="A15" s="7" t="n">
        <v>2023</v>
      </c>
      <c r="B15" s="8" t="s">
        <v>42</v>
      </c>
      <c r="C15" s="8" t="s">
        <v>43</v>
      </c>
      <c r="D15" s="9" t="n">
        <v>1</v>
      </c>
      <c r="E15" s="9" t="s">
        <v>21</v>
      </c>
      <c r="F15" s="8" t="s">
        <v>22</v>
      </c>
      <c r="G15" s="7" t="n">
        <v>7</v>
      </c>
      <c r="H15" s="7"/>
      <c r="I15" s="7" t="n">
        <v>7</v>
      </c>
      <c r="J15" s="7"/>
      <c r="K15" s="7" t="n">
        <v>16</v>
      </c>
      <c r="L15" s="7" t="n">
        <v>70</v>
      </c>
      <c r="M15" s="7"/>
    </row>
    <row r="16" customFormat="false" ht="15.75" hidden="false" customHeight="true" outlineLevel="0" collapsed="false">
      <c r="A16" s="21" t="n">
        <v>2023</v>
      </c>
      <c r="B16" s="22" t="s">
        <v>44</v>
      </c>
      <c r="C16" s="22" t="s">
        <v>45</v>
      </c>
      <c r="D16" s="23" t="n">
        <v>9</v>
      </c>
      <c r="E16" s="23" t="s">
        <v>46</v>
      </c>
      <c r="F16" s="22" t="s">
        <v>45</v>
      </c>
      <c r="G16" s="21" t="n">
        <v>41</v>
      </c>
      <c r="H16" s="21" t="n">
        <v>26</v>
      </c>
      <c r="I16" s="21" t="n">
        <v>31</v>
      </c>
      <c r="J16" s="21"/>
      <c r="K16" s="21"/>
      <c r="L16" s="21" t="n">
        <v>198</v>
      </c>
      <c r="M16" s="21"/>
      <c r="R16" s="20" t="n">
        <v>609</v>
      </c>
    </row>
    <row r="17" customFormat="false" ht="15.75" hidden="false" customHeight="true" outlineLevel="0" collapsed="false">
      <c r="A17" s="24" t="n">
        <v>2023</v>
      </c>
      <c r="B17" s="25" t="s">
        <v>47</v>
      </c>
      <c r="C17" s="25" t="s">
        <v>48</v>
      </c>
      <c r="D17" s="26" t="n">
        <v>6</v>
      </c>
      <c r="E17" s="26" t="s">
        <v>49</v>
      </c>
      <c r="F17" s="25" t="s">
        <v>48</v>
      </c>
      <c r="G17" s="24" t="n">
        <v>23</v>
      </c>
      <c r="H17" s="24" t="n">
        <v>65</v>
      </c>
      <c r="I17" s="24" t="n">
        <v>19</v>
      </c>
      <c r="J17" s="24" t="n">
        <v>299</v>
      </c>
      <c r="K17" s="24" t="n">
        <v>62</v>
      </c>
      <c r="L17" s="24" t="n">
        <v>16</v>
      </c>
      <c r="M17" s="24"/>
    </row>
    <row r="18" customFormat="false" ht="15.75" hidden="false" customHeight="true" outlineLevel="0" collapsed="false">
      <c r="A18" s="27" t="n">
        <v>2023</v>
      </c>
      <c r="B18" s="28" t="s">
        <v>50</v>
      </c>
      <c r="C18" s="28" t="s">
        <v>51</v>
      </c>
      <c r="D18" s="29" t="n">
        <v>11</v>
      </c>
      <c r="E18" s="29" t="s">
        <v>52</v>
      </c>
      <c r="F18" s="28" t="s">
        <v>51</v>
      </c>
      <c r="G18" s="27" t="n">
        <v>107</v>
      </c>
      <c r="H18" s="27" t="n">
        <v>122</v>
      </c>
      <c r="I18" s="27" t="n">
        <v>72</v>
      </c>
      <c r="J18" s="27" t="n">
        <v>297</v>
      </c>
      <c r="K18" s="27" t="n">
        <v>26</v>
      </c>
      <c r="L18" s="27" t="n">
        <v>450</v>
      </c>
      <c r="M18" s="27"/>
      <c r="R18" s="20" t="n">
        <v>1728</v>
      </c>
    </row>
    <row r="19" customFormat="false" ht="15.75" hidden="false" customHeight="true" outlineLevel="0" collapsed="false">
      <c r="A19" s="7" t="n">
        <v>2023</v>
      </c>
      <c r="B19" s="8" t="s">
        <v>53</v>
      </c>
      <c r="C19" s="8" t="s">
        <v>28</v>
      </c>
      <c r="D19" s="9" t="n">
        <v>1</v>
      </c>
      <c r="E19" s="9" t="s">
        <v>21</v>
      </c>
      <c r="F19" s="8" t="s">
        <v>22</v>
      </c>
      <c r="G19" s="7" t="n">
        <v>12</v>
      </c>
      <c r="H19" s="7" t="n">
        <v>38</v>
      </c>
      <c r="I19" s="7" t="n">
        <v>10</v>
      </c>
      <c r="J19" s="7"/>
      <c r="K19" s="7"/>
      <c r="L19" s="7"/>
      <c r="M19" s="7"/>
      <c r="R19" s="20" t="n">
        <v>1645</v>
      </c>
    </row>
    <row r="20" customFormat="false" ht="15.75" hidden="false" customHeight="true" outlineLevel="0" collapsed="false">
      <c r="A20" s="17" t="n">
        <v>2023</v>
      </c>
      <c r="B20" s="18" t="s">
        <v>54</v>
      </c>
      <c r="C20" s="18" t="s">
        <v>55</v>
      </c>
      <c r="D20" s="19" t="n">
        <v>8</v>
      </c>
      <c r="E20" s="19" t="s">
        <v>41</v>
      </c>
      <c r="F20" s="18" t="s">
        <v>40</v>
      </c>
      <c r="G20" s="17"/>
      <c r="H20" s="17" t="n">
        <v>105</v>
      </c>
      <c r="I20" s="17"/>
      <c r="J20" s="17"/>
      <c r="K20" s="17"/>
      <c r="L20" s="17"/>
      <c r="M20" s="17"/>
      <c r="R20" s="20" t="n">
        <v>932</v>
      </c>
    </row>
    <row r="21" customFormat="false" ht="15.75" hidden="false" customHeight="true" outlineLevel="0" collapsed="false">
      <c r="A21" s="30" t="n">
        <v>2023</v>
      </c>
      <c r="B21" s="31" t="s">
        <v>56</v>
      </c>
      <c r="C21" s="31" t="s">
        <v>57</v>
      </c>
      <c r="D21" s="32" t="n">
        <v>16</v>
      </c>
      <c r="E21" s="32" t="s">
        <v>58</v>
      </c>
      <c r="F21" s="31" t="s">
        <v>57</v>
      </c>
      <c r="G21" s="30" t="n">
        <v>109</v>
      </c>
      <c r="H21" s="30" t="n">
        <v>126</v>
      </c>
      <c r="I21" s="30" t="n">
        <v>106</v>
      </c>
      <c r="J21" s="30" t="n">
        <v>206</v>
      </c>
      <c r="K21" s="30"/>
      <c r="L21" s="30" t="n">
        <v>805</v>
      </c>
      <c r="M21" s="30"/>
    </row>
    <row r="22" customFormat="false" ht="15.75" hidden="false" customHeight="true" outlineLevel="0" collapsed="false">
      <c r="A22" s="21" t="n">
        <v>2023</v>
      </c>
      <c r="B22" s="22" t="s">
        <v>59</v>
      </c>
      <c r="C22" s="22" t="s">
        <v>45</v>
      </c>
      <c r="D22" s="23" t="n">
        <v>9</v>
      </c>
      <c r="E22" s="23" t="s">
        <v>46</v>
      </c>
      <c r="F22" s="22" t="s">
        <v>45</v>
      </c>
      <c r="G22" s="21"/>
      <c r="H22" s="21" t="n">
        <v>26</v>
      </c>
      <c r="I22" s="21"/>
      <c r="J22" s="21"/>
      <c r="K22" s="21"/>
      <c r="L22" s="21"/>
      <c r="M22" s="21"/>
    </row>
    <row r="23" customFormat="false" ht="15.75" hidden="false" customHeight="true" outlineLevel="0" collapsed="false">
      <c r="A23" s="7" t="n">
        <v>2023</v>
      </c>
      <c r="B23" s="8" t="s">
        <v>60</v>
      </c>
      <c r="C23" s="8" t="s">
        <v>61</v>
      </c>
      <c r="D23" s="9" t="n">
        <v>1</v>
      </c>
      <c r="E23" s="9" t="s">
        <v>21</v>
      </c>
      <c r="F23" s="8" t="s">
        <v>22</v>
      </c>
      <c r="G23" s="7" t="n">
        <v>15</v>
      </c>
      <c r="H23" s="7" t="n">
        <v>11</v>
      </c>
      <c r="I23" s="7" t="n">
        <v>6</v>
      </c>
      <c r="J23" s="7"/>
      <c r="K23" s="7"/>
      <c r="L23" s="7" t="n">
        <v>35</v>
      </c>
      <c r="M23" s="7"/>
    </row>
    <row r="24" customFormat="false" ht="15.75" hidden="false" customHeight="true" outlineLevel="0" collapsed="false">
      <c r="A24" s="33" t="n">
        <v>2023</v>
      </c>
      <c r="B24" s="34" t="s">
        <v>62</v>
      </c>
      <c r="C24" s="34" t="s">
        <v>63</v>
      </c>
      <c r="D24" s="35" t="n">
        <v>4</v>
      </c>
      <c r="E24" s="35" t="s">
        <v>64</v>
      </c>
      <c r="F24" s="34" t="s">
        <v>63</v>
      </c>
      <c r="G24" s="33" t="n">
        <v>91</v>
      </c>
      <c r="H24" s="33" t="n">
        <v>104</v>
      </c>
      <c r="I24" s="33" t="n">
        <v>72</v>
      </c>
      <c r="J24" s="33" t="n">
        <v>170</v>
      </c>
      <c r="K24" s="33"/>
      <c r="L24" s="33" t="n">
        <v>432</v>
      </c>
      <c r="M24" s="33"/>
    </row>
    <row r="25" customFormat="false" ht="15.75" hidden="false" customHeight="true" outlineLevel="0" collapsed="false">
      <c r="A25" s="7" t="n">
        <v>2023</v>
      </c>
      <c r="B25" s="8" t="s">
        <v>65</v>
      </c>
      <c r="C25" s="8" t="s">
        <v>66</v>
      </c>
      <c r="D25" s="9" t="n">
        <v>1</v>
      </c>
      <c r="E25" s="9" t="s">
        <v>21</v>
      </c>
      <c r="F25" s="8" t="s">
        <v>22</v>
      </c>
      <c r="G25" s="7" t="n">
        <v>15</v>
      </c>
      <c r="H25" s="7" t="n">
        <v>15</v>
      </c>
      <c r="I25" s="7"/>
      <c r="J25" s="7"/>
      <c r="K25" s="7"/>
      <c r="L25" s="7"/>
      <c r="M25" s="7"/>
    </row>
    <row r="26" customFormat="false" ht="15.75" hidden="false" customHeight="true" outlineLevel="0" collapsed="false">
      <c r="A26" s="7" t="n">
        <v>2023</v>
      </c>
      <c r="B26" s="8" t="s">
        <v>67</v>
      </c>
      <c r="C26" s="8" t="s">
        <v>68</v>
      </c>
      <c r="D26" s="9" t="n">
        <v>1</v>
      </c>
      <c r="E26" s="9" t="s">
        <v>21</v>
      </c>
      <c r="F26" s="8" t="s">
        <v>22</v>
      </c>
      <c r="G26" s="7" t="n">
        <v>123</v>
      </c>
      <c r="H26" s="7"/>
      <c r="I26" s="7"/>
      <c r="J26" s="7"/>
      <c r="K26" s="7"/>
      <c r="L26" s="7"/>
      <c r="M26" s="7"/>
    </row>
    <row r="27" customFormat="false" ht="18" hidden="false" customHeight="true" outlineLevel="0" collapsed="false">
      <c r="A27" s="13" t="n">
        <v>2023</v>
      </c>
      <c r="B27" s="13" t="s">
        <v>69</v>
      </c>
      <c r="C27" s="13"/>
      <c r="D27" s="13"/>
      <c r="E27" s="13"/>
      <c r="F27" s="13"/>
      <c r="G27" s="13" t="n">
        <f aca="false">SUMIF(G11:G26,"&lt;&gt;"&amp;"")</f>
        <v>748</v>
      </c>
      <c r="H27" s="13" t="n">
        <f aca="false">SUMIF(H11:H26,"&lt;&gt;"&amp;"")</f>
        <v>769</v>
      </c>
      <c r="I27" s="13" t="n">
        <f aca="false">SUMIF(I11:I26,"&lt;&gt;"&amp;"")</f>
        <v>420</v>
      </c>
      <c r="J27" s="13" t="n">
        <f aca="false">SUMIF(J11:J26,"&lt;&gt;"&amp;"")</f>
        <v>1645</v>
      </c>
      <c r="K27" s="13" t="n">
        <f aca="false">SUMIF(K11:K26,"&lt;&gt;"&amp;"")</f>
        <v>239</v>
      </c>
      <c r="L27" s="13" t="n">
        <f aca="false">SUMIF(L11:L26,"&lt;&gt;"&amp;"")</f>
        <v>3441</v>
      </c>
      <c r="M27" s="13" t="n">
        <f aca="false">SUMIF(M11:M26,"&lt;&gt;"&amp;"")</f>
        <v>0</v>
      </c>
    </row>
    <row r="28" customFormat="false" ht="15.75" hidden="false" customHeight="true" outlineLevel="0" collapsed="false"/>
    <row r="29" customFormat="false" ht="19.5" hidden="false" customHeight="true" outlineLevel="0" collapsed="false">
      <c r="A29" s="3" t="s">
        <v>70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5.75" hidden="false" customHeight="true" outlineLevel="0" collapsed="false">
      <c r="A30" s="36" t="n">
        <v>2024</v>
      </c>
      <c r="B30" s="37" t="s">
        <v>71</v>
      </c>
      <c r="C30" s="37" t="s">
        <v>72</v>
      </c>
      <c r="D30" s="38" t="n">
        <v>5</v>
      </c>
      <c r="E30" s="38" t="s">
        <v>73</v>
      </c>
      <c r="F30" s="37" t="s">
        <v>72</v>
      </c>
      <c r="G30" s="36" t="n">
        <v>79</v>
      </c>
      <c r="H30" s="36" t="n">
        <v>112</v>
      </c>
      <c r="I30" s="36" t="n">
        <v>57</v>
      </c>
      <c r="J30" s="36" t="n">
        <v>39</v>
      </c>
      <c r="K30" s="36" t="n">
        <v>25</v>
      </c>
      <c r="L30" s="36" t="n">
        <v>50</v>
      </c>
      <c r="M30" s="36" t="n">
        <v>57</v>
      </c>
    </row>
    <row r="31" customFormat="false" ht="15.75" hidden="false" customHeight="true" outlineLevel="0" collapsed="false">
      <c r="A31" s="7" t="n">
        <v>2024</v>
      </c>
      <c r="B31" s="8" t="s">
        <v>74</v>
      </c>
      <c r="C31" s="8" t="s">
        <v>75</v>
      </c>
      <c r="D31" s="9" t="n">
        <v>1</v>
      </c>
      <c r="E31" s="9" t="s">
        <v>21</v>
      </c>
      <c r="F31" s="8" t="s">
        <v>22</v>
      </c>
      <c r="G31" s="7" t="n">
        <v>14</v>
      </c>
      <c r="H31" s="7" t="n">
        <v>14</v>
      </c>
      <c r="I31" s="7" t="n">
        <v>3</v>
      </c>
      <c r="J31" s="7"/>
      <c r="K31" s="7" t="n">
        <v>5</v>
      </c>
      <c r="L31" s="7"/>
      <c r="M31" s="7"/>
    </row>
    <row r="32" customFormat="false" ht="15.75" hidden="false" customHeight="true" outlineLevel="0" collapsed="false">
      <c r="A32" s="7" t="n">
        <v>2024</v>
      </c>
      <c r="B32" s="8" t="s">
        <v>76</v>
      </c>
      <c r="C32" s="8" t="s">
        <v>77</v>
      </c>
      <c r="D32" s="9" t="n">
        <v>1</v>
      </c>
      <c r="E32" s="9" t="s">
        <v>21</v>
      </c>
      <c r="F32" s="8" t="s">
        <v>22</v>
      </c>
      <c r="G32" s="7" t="n">
        <v>18</v>
      </c>
      <c r="H32" s="7"/>
      <c r="I32" s="7"/>
      <c r="J32" s="7"/>
      <c r="K32" s="7"/>
      <c r="L32" s="7"/>
      <c r="M32" s="7"/>
    </row>
    <row r="33" customFormat="false" ht="15.75" hidden="false" customHeight="true" outlineLevel="0" collapsed="false">
      <c r="A33" s="39" t="n">
        <v>2024</v>
      </c>
      <c r="B33" s="40" t="s">
        <v>78</v>
      </c>
      <c r="C33" s="40" t="s">
        <v>79</v>
      </c>
      <c r="D33" s="41" t="n">
        <v>14</v>
      </c>
      <c r="E33" s="41" t="s">
        <v>80</v>
      </c>
      <c r="F33" s="40" t="s">
        <v>79</v>
      </c>
      <c r="G33" s="39" t="n">
        <v>179</v>
      </c>
      <c r="H33" s="39" t="n">
        <v>139</v>
      </c>
      <c r="I33" s="39" t="n">
        <v>97</v>
      </c>
      <c r="J33" s="39" t="n">
        <v>204</v>
      </c>
      <c r="K33" s="39" t="n">
        <v>43</v>
      </c>
      <c r="L33" s="39" t="n">
        <v>453</v>
      </c>
      <c r="M33" s="39" t="n">
        <v>42</v>
      </c>
    </row>
    <row r="34" customFormat="false" ht="15.75" hidden="false" customHeight="true" outlineLevel="0" collapsed="false">
      <c r="A34" s="7" t="n">
        <v>2024</v>
      </c>
      <c r="B34" s="8" t="s">
        <v>81</v>
      </c>
      <c r="C34" s="8" t="s">
        <v>82</v>
      </c>
      <c r="D34" s="9" t="n">
        <v>1</v>
      </c>
      <c r="E34" s="9" t="s">
        <v>21</v>
      </c>
      <c r="F34" s="8" t="s">
        <v>22</v>
      </c>
      <c r="G34" s="7" t="n">
        <v>40</v>
      </c>
      <c r="H34" s="7"/>
      <c r="I34" s="7"/>
      <c r="J34" s="7"/>
      <c r="K34" s="7"/>
      <c r="L34" s="7"/>
      <c r="M34" s="7"/>
    </row>
    <row r="35" customFormat="false" ht="15.75" hidden="false" customHeight="true" outlineLevel="0" collapsed="false">
      <c r="A35" s="7" t="n">
        <v>2024</v>
      </c>
      <c r="B35" s="8" t="s">
        <v>83</v>
      </c>
      <c r="C35" s="8" t="s">
        <v>84</v>
      </c>
      <c r="D35" s="9" t="n">
        <v>1</v>
      </c>
      <c r="E35" s="9" t="s">
        <v>21</v>
      </c>
      <c r="F35" s="8" t="s">
        <v>22</v>
      </c>
      <c r="G35" s="7" t="n">
        <v>12</v>
      </c>
      <c r="H35" s="7"/>
      <c r="I35" s="7"/>
      <c r="J35" s="7"/>
      <c r="K35" s="7"/>
      <c r="L35" s="7"/>
      <c r="M35" s="7"/>
    </row>
    <row r="36" customFormat="false" ht="15.75" hidden="false" customHeight="true" outlineLevel="0" collapsed="false">
      <c r="A36" s="42" t="n">
        <v>2024</v>
      </c>
      <c r="B36" s="43" t="s">
        <v>85</v>
      </c>
      <c r="C36" s="43" t="s">
        <v>86</v>
      </c>
      <c r="D36" s="44" t="n">
        <v>3</v>
      </c>
      <c r="E36" s="44" t="s">
        <v>87</v>
      </c>
      <c r="F36" s="43" t="s">
        <v>86</v>
      </c>
      <c r="G36" s="42" t="n">
        <v>130</v>
      </c>
      <c r="H36" s="42" t="n">
        <v>143</v>
      </c>
      <c r="I36" s="42" t="n">
        <v>44</v>
      </c>
      <c r="J36" s="42" t="n">
        <v>172</v>
      </c>
      <c r="K36" s="42" t="n">
        <v>22</v>
      </c>
      <c r="L36" s="42" t="n">
        <v>428</v>
      </c>
      <c r="M36" s="42" t="n">
        <v>84</v>
      </c>
    </row>
    <row r="37" customFormat="false" ht="15.75" hidden="false" customHeight="true" outlineLevel="0" collapsed="false">
      <c r="A37" s="7" t="n">
        <v>2024</v>
      </c>
      <c r="B37" s="8" t="s">
        <v>88</v>
      </c>
      <c r="C37" s="8" t="s">
        <v>89</v>
      </c>
      <c r="D37" s="9" t="n">
        <v>1</v>
      </c>
      <c r="E37" s="9" t="s">
        <v>21</v>
      </c>
      <c r="F37" s="8" t="s">
        <v>22</v>
      </c>
      <c r="G37" s="7" t="n">
        <v>20</v>
      </c>
      <c r="H37" s="7" t="n">
        <v>22</v>
      </c>
      <c r="I37" s="7" t="n">
        <v>5</v>
      </c>
      <c r="J37" s="7"/>
      <c r="K37" s="7"/>
      <c r="L37" s="7"/>
      <c r="M37" s="7"/>
    </row>
    <row r="38" customFormat="false" ht="15.75" hidden="false" customHeight="true" outlineLevel="0" collapsed="false">
      <c r="A38" s="7" t="n">
        <v>2024</v>
      </c>
      <c r="B38" s="8" t="s">
        <v>81</v>
      </c>
      <c r="C38" s="8" t="s">
        <v>90</v>
      </c>
      <c r="D38" s="9" t="n">
        <v>1</v>
      </c>
      <c r="E38" s="9" t="s">
        <v>21</v>
      </c>
      <c r="F38" s="8" t="s">
        <v>22</v>
      </c>
      <c r="G38" s="7" t="n">
        <v>19</v>
      </c>
      <c r="H38" s="7"/>
      <c r="I38" s="7"/>
      <c r="J38" s="7"/>
      <c r="K38" s="7"/>
      <c r="L38" s="7"/>
      <c r="M38" s="7"/>
    </row>
    <row r="39" customFormat="false" ht="15.75" hidden="false" customHeight="true" outlineLevel="0" collapsed="false">
      <c r="A39" s="7" t="n">
        <v>2024</v>
      </c>
      <c r="B39" s="8" t="s">
        <v>91</v>
      </c>
      <c r="C39" s="8" t="s">
        <v>92</v>
      </c>
      <c r="D39" s="9" t="n">
        <v>1</v>
      </c>
      <c r="E39" s="9" t="s">
        <v>21</v>
      </c>
      <c r="F39" s="8" t="s">
        <v>22</v>
      </c>
      <c r="G39" s="7" t="n">
        <v>8</v>
      </c>
      <c r="H39" s="7"/>
      <c r="I39" s="7"/>
      <c r="J39" s="7"/>
      <c r="K39" s="7"/>
      <c r="L39" s="7"/>
      <c r="M39" s="7"/>
    </row>
    <row r="40" customFormat="false" ht="15.75" hidden="false" customHeight="true" outlineLevel="0" collapsed="false">
      <c r="A40" s="7" t="n">
        <v>2024</v>
      </c>
      <c r="B40" s="8" t="s">
        <v>93</v>
      </c>
      <c r="C40" s="8" t="s">
        <v>94</v>
      </c>
      <c r="D40" s="9" t="n">
        <v>1</v>
      </c>
      <c r="E40" s="9" t="s">
        <v>21</v>
      </c>
      <c r="F40" s="8" t="s">
        <v>22</v>
      </c>
      <c r="G40" s="7" t="n">
        <v>64</v>
      </c>
      <c r="H40" s="7"/>
      <c r="I40" s="7"/>
      <c r="J40" s="7"/>
      <c r="K40" s="7"/>
      <c r="L40" s="7"/>
      <c r="M40" s="7"/>
    </row>
    <row r="41" customFormat="false" ht="15.75" hidden="false" customHeight="true" outlineLevel="0" collapsed="false">
      <c r="A41" s="7" t="n">
        <v>2024</v>
      </c>
      <c r="B41" s="8" t="s">
        <v>93</v>
      </c>
      <c r="C41" s="8" t="s">
        <v>84</v>
      </c>
      <c r="D41" s="9" t="n">
        <v>1</v>
      </c>
      <c r="E41" s="9" t="s">
        <v>21</v>
      </c>
      <c r="F41" s="8" t="s">
        <v>22</v>
      </c>
      <c r="G41" s="7" t="n">
        <v>10</v>
      </c>
      <c r="H41" s="7"/>
      <c r="I41" s="7"/>
      <c r="J41" s="7"/>
      <c r="K41" s="7"/>
      <c r="L41" s="7"/>
      <c r="M41" s="7"/>
    </row>
    <row r="42" customFormat="false" ht="15.75" hidden="false" customHeight="true" outlineLevel="0" collapsed="false">
      <c r="A42" s="7" t="n">
        <v>2024</v>
      </c>
      <c r="B42" s="8" t="s">
        <v>93</v>
      </c>
      <c r="C42" s="8" t="s">
        <v>82</v>
      </c>
      <c r="D42" s="9" t="n">
        <v>1</v>
      </c>
      <c r="E42" s="9" t="s">
        <v>21</v>
      </c>
      <c r="F42" s="8" t="s">
        <v>22</v>
      </c>
      <c r="G42" s="7" t="n">
        <v>63</v>
      </c>
      <c r="H42" s="7"/>
      <c r="I42" s="7"/>
      <c r="J42" s="7"/>
      <c r="K42" s="7"/>
      <c r="L42" s="7"/>
      <c r="M42" s="7"/>
    </row>
    <row r="43" customFormat="false" ht="15.75" hidden="false" customHeight="true" outlineLevel="0" collapsed="false">
      <c r="A43" s="7" t="n">
        <v>2024</v>
      </c>
      <c r="B43" s="8" t="s">
        <v>93</v>
      </c>
      <c r="C43" s="8" t="s">
        <v>95</v>
      </c>
      <c r="D43" s="9" t="n">
        <v>1</v>
      </c>
      <c r="E43" s="9" t="s">
        <v>21</v>
      </c>
      <c r="F43" s="8" t="s">
        <v>22</v>
      </c>
      <c r="G43" s="7" t="n">
        <v>45</v>
      </c>
      <c r="H43" s="7"/>
      <c r="I43" s="7"/>
      <c r="J43" s="7"/>
      <c r="K43" s="7"/>
      <c r="L43" s="7"/>
      <c r="M43" s="7"/>
    </row>
    <row r="44" customFormat="false" ht="15.75" hidden="false" customHeight="true" outlineLevel="0" collapsed="false">
      <c r="A44" s="45" t="n">
        <v>2024</v>
      </c>
      <c r="B44" s="46" t="s">
        <v>93</v>
      </c>
      <c r="C44" s="46" t="s">
        <v>96</v>
      </c>
      <c r="D44" s="47" t="n">
        <v>21</v>
      </c>
      <c r="E44" s="47" t="s">
        <v>97</v>
      </c>
      <c r="F44" s="46" t="s">
        <v>96</v>
      </c>
      <c r="G44" s="45" t="n">
        <v>142</v>
      </c>
      <c r="H44" s="45" t="n">
        <v>157</v>
      </c>
      <c r="I44" s="45" t="n">
        <v>57</v>
      </c>
      <c r="J44" s="45" t="n">
        <v>442</v>
      </c>
      <c r="K44" s="45" t="n">
        <v>7</v>
      </c>
      <c r="L44" s="45" t="n">
        <v>420</v>
      </c>
      <c r="M44" s="45" t="n">
        <v>155</v>
      </c>
    </row>
    <row r="45" customFormat="false" ht="15.75" hidden="false" customHeight="true" outlineLevel="0" collapsed="false">
      <c r="A45" s="7" t="n">
        <v>2024</v>
      </c>
      <c r="B45" s="8" t="s">
        <v>93</v>
      </c>
      <c r="C45" s="8" t="s">
        <v>98</v>
      </c>
      <c r="D45" s="9" t="n">
        <v>1</v>
      </c>
      <c r="E45" s="9" t="s">
        <v>21</v>
      </c>
      <c r="F45" s="8" t="s">
        <v>22</v>
      </c>
      <c r="G45" s="7" t="n">
        <v>103</v>
      </c>
      <c r="H45" s="7"/>
      <c r="I45" s="7"/>
      <c r="J45" s="7"/>
      <c r="K45" s="7"/>
      <c r="L45" s="7"/>
      <c r="M45" s="7"/>
    </row>
    <row r="46" customFormat="false" ht="15.75" hidden="false" customHeight="true" outlineLevel="0" collapsed="false">
      <c r="A46" s="7" t="n">
        <v>2024</v>
      </c>
      <c r="B46" s="8" t="s">
        <v>93</v>
      </c>
      <c r="C46" s="8" t="s">
        <v>99</v>
      </c>
      <c r="D46" s="9" t="n">
        <v>1</v>
      </c>
      <c r="E46" s="9" t="s">
        <v>21</v>
      </c>
      <c r="F46" s="8" t="s">
        <v>22</v>
      </c>
      <c r="G46" s="7" t="n">
        <v>27</v>
      </c>
      <c r="H46" s="7" t="n">
        <v>24</v>
      </c>
      <c r="I46" s="7" t="n">
        <v>9</v>
      </c>
      <c r="J46" s="7"/>
      <c r="K46" s="7"/>
      <c r="L46" s="7"/>
      <c r="M46" s="7"/>
    </row>
    <row r="47" customFormat="false" ht="15.75" hidden="false" customHeight="true" outlineLevel="0" collapsed="false">
      <c r="A47" s="7" t="n">
        <v>2024</v>
      </c>
      <c r="B47" s="8" t="s">
        <v>100</v>
      </c>
      <c r="C47" s="8" t="s">
        <v>101</v>
      </c>
      <c r="D47" s="9" t="n">
        <v>1</v>
      </c>
      <c r="E47" s="9" t="s">
        <v>21</v>
      </c>
      <c r="F47" s="8" t="s">
        <v>22</v>
      </c>
      <c r="G47" s="7" t="n">
        <v>103</v>
      </c>
      <c r="H47" s="7" t="n">
        <v>88</v>
      </c>
      <c r="I47" s="7" t="n">
        <v>33</v>
      </c>
      <c r="J47" s="7"/>
      <c r="K47" s="7"/>
      <c r="L47" s="7"/>
      <c r="M47" s="7"/>
    </row>
    <row r="48" customFormat="false" ht="15.75" hidden="false" customHeight="true" outlineLevel="0" collapsed="false">
      <c r="A48" s="7" t="n">
        <v>2024</v>
      </c>
      <c r="B48" s="8" t="s">
        <v>102</v>
      </c>
      <c r="C48" s="8" t="s">
        <v>38</v>
      </c>
      <c r="D48" s="9" t="n">
        <v>1</v>
      </c>
      <c r="E48" s="9" t="s">
        <v>21</v>
      </c>
      <c r="F48" s="8" t="s">
        <v>22</v>
      </c>
      <c r="G48" s="7" t="n">
        <v>30</v>
      </c>
      <c r="H48" s="7" t="n">
        <v>33</v>
      </c>
      <c r="I48" s="7" t="n">
        <v>9</v>
      </c>
      <c r="J48" s="7"/>
      <c r="K48" s="7"/>
      <c r="L48" s="7"/>
      <c r="M48" s="7"/>
    </row>
    <row r="49" customFormat="false" ht="15.75" hidden="false" customHeight="true" outlineLevel="0" collapsed="false">
      <c r="A49" s="48" t="n">
        <v>2024</v>
      </c>
      <c r="B49" s="49" t="s">
        <v>103</v>
      </c>
      <c r="C49" s="49" t="s">
        <v>104</v>
      </c>
      <c r="D49" s="50" t="n">
        <v>10</v>
      </c>
      <c r="E49" s="50" t="s">
        <v>105</v>
      </c>
      <c r="F49" s="49" t="s">
        <v>104</v>
      </c>
      <c r="G49" s="48" t="n">
        <v>147</v>
      </c>
      <c r="H49" s="48" t="n">
        <v>142</v>
      </c>
      <c r="I49" s="48" t="n">
        <v>86</v>
      </c>
      <c r="J49" s="48" t="n">
        <v>231</v>
      </c>
      <c r="K49" s="48" t="n">
        <v>14</v>
      </c>
      <c r="L49" s="48" t="n">
        <v>483</v>
      </c>
      <c r="M49" s="48" t="n">
        <v>80</v>
      </c>
    </row>
    <row r="50" customFormat="false" ht="15.75" hidden="false" customHeight="true" outlineLevel="0" collapsed="false">
      <c r="A50" s="7" t="n">
        <v>2024</v>
      </c>
      <c r="B50" s="8" t="s">
        <v>106</v>
      </c>
      <c r="C50" s="8" t="s">
        <v>107</v>
      </c>
      <c r="D50" s="9" t="n">
        <v>1</v>
      </c>
      <c r="E50" s="9" t="s">
        <v>21</v>
      </c>
      <c r="F50" s="8" t="s">
        <v>22</v>
      </c>
      <c r="G50" s="7" t="n">
        <v>13</v>
      </c>
      <c r="H50" s="7" t="n">
        <v>17</v>
      </c>
      <c r="I50" s="7" t="n">
        <v>8</v>
      </c>
      <c r="J50" s="7"/>
      <c r="K50" s="7" t="n">
        <v>9</v>
      </c>
      <c r="L50" s="7" t="n">
        <v>30</v>
      </c>
      <c r="M50" s="7"/>
    </row>
    <row r="51" customFormat="false" ht="15.75" hidden="false" customHeight="true" outlineLevel="0" collapsed="false">
      <c r="A51" s="7" t="n">
        <v>2024</v>
      </c>
      <c r="B51" s="8" t="s">
        <v>106</v>
      </c>
      <c r="C51" s="8" t="s">
        <v>82</v>
      </c>
      <c r="D51" s="9" t="n">
        <v>1</v>
      </c>
      <c r="E51" s="9" t="s">
        <v>21</v>
      </c>
      <c r="F51" s="8" t="s">
        <v>22</v>
      </c>
      <c r="G51" s="7"/>
      <c r="H51" s="7" t="n">
        <v>19</v>
      </c>
      <c r="I51" s="7"/>
      <c r="J51" s="7"/>
      <c r="K51" s="7"/>
      <c r="L51" s="7"/>
      <c r="M51" s="7"/>
    </row>
    <row r="52" customFormat="false" ht="15.75" hidden="false" customHeight="true" outlineLevel="0" collapsed="false">
      <c r="A52" s="7" t="n">
        <v>2024</v>
      </c>
      <c r="B52" s="8" t="s">
        <v>106</v>
      </c>
      <c r="C52" s="8" t="s">
        <v>108</v>
      </c>
      <c r="D52" s="9" t="n">
        <v>1</v>
      </c>
      <c r="E52" s="9" t="s">
        <v>21</v>
      </c>
      <c r="F52" s="8" t="s">
        <v>22</v>
      </c>
      <c r="G52" s="7"/>
      <c r="H52" s="7" t="n">
        <v>14</v>
      </c>
      <c r="I52" s="7"/>
      <c r="J52" s="7"/>
      <c r="K52" s="7"/>
      <c r="L52" s="7"/>
      <c r="M52" s="7"/>
    </row>
    <row r="53" customFormat="false" ht="15.75" hidden="false" customHeight="true" outlineLevel="0" collapsed="false">
      <c r="A53" s="51" t="n">
        <v>2024</v>
      </c>
      <c r="B53" s="52" t="s">
        <v>109</v>
      </c>
      <c r="C53" s="52" t="s">
        <v>110</v>
      </c>
      <c r="D53" s="53" t="n">
        <v>18</v>
      </c>
      <c r="E53" s="53" t="s">
        <v>111</v>
      </c>
      <c r="F53" s="52" t="s">
        <v>110</v>
      </c>
      <c r="G53" s="51" t="n">
        <v>141</v>
      </c>
      <c r="H53" s="51" t="n">
        <v>152</v>
      </c>
      <c r="I53" s="51" t="n">
        <v>44</v>
      </c>
      <c r="J53" s="51" t="n">
        <v>143</v>
      </c>
      <c r="K53" s="51" t="n">
        <v>20</v>
      </c>
      <c r="L53" s="51" t="n">
        <v>213</v>
      </c>
      <c r="M53" s="51" t="n">
        <v>23</v>
      </c>
    </row>
    <row r="54" customFormat="false" ht="15.75" hidden="false" customHeight="true" outlineLevel="0" collapsed="false">
      <c r="A54" s="7" t="n">
        <v>2024</v>
      </c>
      <c r="B54" s="8" t="s">
        <v>112</v>
      </c>
      <c r="C54" s="8" t="s">
        <v>113</v>
      </c>
      <c r="D54" s="9" t="n">
        <v>1</v>
      </c>
      <c r="E54" s="9" t="s">
        <v>21</v>
      </c>
      <c r="F54" s="8" t="s">
        <v>22</v>
      </c>
      <c r="G54" s="7" t="n">
        <v>18</v>
      </c>
      <c r="H54" s="7" t="n">
        <v>18</v>
      </c>
      <c r="I54" s="7" t="n">
        <v>7</v>
      </c>
      <c r="J54" s="7"/>
      <c r="K54" s="7" t="n">
        <v>15</v>
      </c>
      <c r="L54" s="7"/>
      <c r="M54" s="7"/>
    </row>
    <row r="55" customFormat="false" ht="15.75" hidden="false" customHeight="true" outlineLevel="0" collapsed="false">
      <c r="A55" s="14" t="n">
        <v>2024</v>
      </c>
      <c r="B55" s="15" t="s">
        <v>114</v>
      </c>
      <c r="C55" s="15" t="s">
        <v>36</v>
      </c>
      <c r="D55" s="16" t="n">
        <v>7</v>
      </c>
      <c r="E55" s="16" t="s">
        <v>35</v>
      </c>
      <c r="F55" s="15" t="s">
        <v>36</v>
      </c>
      <c r="G55" s="14"/>
      <c r="H55" s="14" t="n">
        <v>100</v>
      </c>
      <c r="I55" s="14"/>
      <c r="J55" s="14"/>
      <c r="K55" s="14"/>
      <c r="L55" s="14"/>
      <c r="M55" s="14"/>
    </row>
    <row r="56" customFormat="false" ht="15.75" hidden="false" customHeight="true" outlineLevel="0" collapsed="false">
      <c r="A56" s="7" t="n">
        <v>2024</v>
      </c>
      <c r="B56" s="8" t="s">
        <v>115</v>
      </c>
      <c r="C56" s="8" t="s">
        <v>116</v>
      </c>
      <c r="D56" s="9" t="n">
        <v>1</v>
      </c>
      <c r="E56" s="9" t="s">
        <v>21</v>
      </c>
      <c r="F56" s="8" t="s">
        <v>22</v>
      </c>
      <c r="G56" s="7" t="n">
        <v>19</v>
      </c>
      <c r="H56" s="7"/>
      <c r="I56" s="7"/>
      <c r="J56" s="7"/>
      <c r="K56" s="7"/>
      <c r="L56" s="7"/>
      <c r="M56" s="7"/>
    </row>
    <row r="57" customFormat="false" ht="15.75" hidden="false" customHeight="true" outlineLevel="0" collapsed="false">
      <c r="A57" s="33" t="n">
        <v>2024</v>
      </c>
      <c r="B57" s="34" t="s">
        <v>117</v>
      </c>
      <c r="C57" s="34" t="s">
        <v>118</v>
      </c>
      <c r="D57" s="35" t="n">
        <v>4</v>
      </c>
      <c r="E57" s="35" t="s">
        <v>64</v>
      </c>
      <c r="F57" s="34" t="s">
        <v>63</v>
      </c>
      <c r="G57" s="33" t="n">
        <v>37</v>
      </c>
      <c r="H57" s="33" t="n">
        <v>46</v>
      </c>
      <c r="I57" s="33" t="n">
        <v>6</v>
      </c>
      <c r="J57" s="33"/>
      <c r="K57" s="33" t="n">
        <v>15</v>
      </c>
      <c r="L57" s="33" t="n">
        <v>58</v>
      </c>
      <c r="M57" s="33"/>
    </row>
    <row r="58" customFormat="false" ht="15.75" hidden="false" customHeight="true" outlineLevel="0" collapsed="false">
      <c r="A58" s="7" t="n">
        <v>2024</v>
      </c>
      <c r="B58" s="8" t="s">
        <v>119</v>
      </c>
      <c r="C58" s="8" t="s">
        <v>120</v>
      </c>
      <c r="D58" s="9" t="n">
        <v>1</v>
      </c>
      <c r="E58" s="9" t="s">
        <v>21</v>
      </c>
      <c r="F58" s="8" t="s">
        <v>22</v>
      </c>
      <c r="G58" s="7" t="n">
        <v>30</v>
      </c>
      <c r="H58" s="7" t="n">
        <v>23</v>
      </c>
      <c r="I58" s="7" t="n">
        <v>14</v>
      </c>
      <c r="J58" s="7"/>
      <c r="K58" s="7"/>
      <c r="L58" s="7"/>
      <c r="M58" s="7"/>
    </row>
    <row r="59" customFormat="false" ht="15.75" hidden="false" customHeight="true" outlineLevel="0" collapsed="false">
      <c r="A59" s="54" t="n">
        <v>2024</v>
      </c>
      <c r="B59" s="8" t="s">
        <v>121</v>
      </c>
      <c r="C59" s="55" t="s">
        <v>122</v>
      </c>
      <c r="D59" s="56" t="n">
        <v>13</v>
      </c>
      <c r="E59" s="56" t="s">
        <v>123</v>
      </c>
      <c r="F59" s="55" t="s">
        <v>124</v>
      </c>
      <c r="G59" s="54" t="n">
        <v>135</v>
      </c>
      <c r="H59" s="54" t="n">
        <v>147</v>
      </c>
      <c r="I59" s="54" t="n">
        <v>80</v>
      </c>
      <c r="J59" s="54" t="n">
        <v>231</v>
      </c>
      <c r="K59" s="54" t="n">
        <v>20</v>
      </c>
      <c r="L59" s="54" t="n">
        <v>483</v>
      </c>
      <c r="M59" s="54" t="n">
        <v>80</v>
      </c>
    </row>
    <row r="60" customFormat="false" ht="15.75" hidden="false" customHeight="true" outlineLevel="0" collapsed="false">
      <c r="A60" s="7" t="n">
        <v>2024</v>
      </c>
      <c r="B60" s="8" t="s">
        <v>115</v>
      </c>
      <c r="C60" s="8" t="s">
        <v>77</v>
      </c>
      <c r="D60" s="9" t="n">
        <v>1</v>
      </c>
      <c r="E60" s="9" t="s">
        <v>21</v>
      </c>
      <c r="F60" s="8" t="s">
        <v>22</v>
      </c>
      <c r="G60" s="7" t="n">
        <v>21</v>
      </c>
      <c r="H60" s="7"/>
      <c r="I60" s="7"/>
      <c r="J60" s="7"/>
      <c r="K60" s="7"/>
      <c r="L60" s="7"/>
      <c r="M60" s="7"/>
    </row>
    <row r="61" customFormat="false" ht="15.75" hidden="false" customHeight="true" outlineLevel="0" collapsed="false">
      <c r="A61" s="7" t="n">
        <v>2024</v>
      </c>
      <c r="B61" s="8" t="s">
        <v>125</v>
      </c>
      <c r="C61" s="8" t="s">
        <v>126</v>
      </c>
      <c r="D61" s="9" t="n">
        <v>1</v>
      </c>
      <c r="E61" s="9" t="s">
        <v>21</v>
      </c>
      <c r="F61" s="8" t="s">
        <v>22</v>
      </c>
      <c r="G61" s="7" t="n">
        <v>16</v>
      </c>
      <c r="H61" s="7"/>
      <c r="I61" s="7"/>
      <c r="J61" s="7"/>
      <c r="K61" s="7"/>
      <c r="L61" s="7"/>
      <c r="M61" s="7"/>
    </row>
    <row r="62" customFormat="false" ht="15.75" hidden="false" customHeight="true" outlineLevel="0" collapsed="false">
      <c r="A62" s="7" t="n">
        <v>2024</v>
      </c>
      <c r="B62" s="8" t="s">
        <v>127</v>
      </c>
      <c r="C62" s="8" t="s">
        <v>128</v>
      </c>
      <c r="D62" s="9" t="n">
        <v>1</v>
      </c>
      <c r="E62" s="9" t="s">
        <v>21</v>
      </c>
      <c r="F62" s="8" t="s">
        <v>22</v>
      </c>
      <c r="G62" s="7" t="n">
        <v>170</v>
      </c>
      <c r="H62" s="7" t="n">
        <v>31</v>
      </c>
      <c r="I62" s="7"/>
      <c r="J62" s="7"/>
      <c r="K62" s="7"/>
      <c r="L62" s="7"/>
      <c r="M62" s="7"/>
    </row>
    <row r="63" customFormat="false" ht="15.75" hidden="false" customHeight="true" outlineLevel="0" collapsed="false">
      <c r="A63" s="57" t="n">
        <v>2024</v>
      </c>
      <c r="B63" s="58" t="s">
        <v>129</v>
      </c>
      <c r="C63" s="58" t="s">
        <v>130</v>
      </c>
      <c r="D63" s="59" t="n">
        <v>19</v>
      </c>
      <c r="E63" s="59" t="s">
        <v>131</v>
      </c>
      <c r="F63" s="58" t="s">
        <v>130</v>
      </c>
      <c r="G63" s="57" t="n">
        <v>104</v>
      </c>
      <c r="H63" s="57" t="n">
        <v>137</v>
      </c>
      <c r="I63" s="57" t="n">
        <v>70</v>
      </c>
      <c r="J63" s="57" t="n">
        <v>154</v>
      </c>
      <c r="K63" s="57" t="n">
        <v>41</v>
      </c>
      <c r="L63" s="57" t="n">
        <v>350</v>
      </c>
      <c r="M63" s="57" t="n">
        <v>131</v>
      </c>
    </row>
    <row r="64" customFormat="false" ht="15.75" hidden="false" customHeight="true" outlineLevel="0" collapsed="false">
      <c r="A64" s="7" t="n">
        <v>2024</v>
      </c>
      <c r="B64" s="8" t="s">
        <v>132</v>
      </c>
      <c r="C64" s="8" t="s">
        <v>128</v>
      </c>
      <c r="D64" s="9" t="n">
        <v>1</v>
      </c>
      <c r="E64" s="9" t="s">
        <v>21</v>
      </c>
      <c r="F64" s="8" t="s">
        <v>22</v>
      </c>
      <c r="G64" s="7" t="n">
        <v>119</v>
      </c>
      <c r="H64" s="7" t="n">
        <v>63</v>
      </c>
      <c r="I64" s="7"/>
      <c r="J64" s="7"/>
      <c r="K64" s="7"/>
      <c r="L64" s="7"/>
      <c r="M64" s="7"/>
    </row>
    <row r="65" customFormat="false" ht="15.75" hidden="false" customHeight="true" outlineLevel="0" collapsed="false">
      <c r="A65" s="14" t="n">
        <v>2024</v>
      </c>
      <c r="B65" s="15" t="s">
        <v>132</v>
      </c>
      <c r="C65" s="15" t="s">
        <v>133</v>
      </c>
      <c r="D65" s="16" t="n">
        <v>7</v>
      </c>
      <c r="E65" s="16" t="s">
        <v>35</v>
      </c>
      <c r="F65" s="15" t="s">
        <v>36</v>
      </c>
      <c r="G65" s="14" t="n">
        <v>54</v>
      </c>
      <c r="H65" s="14" t="n">
        <v>31</v>
      </c>
      <c r="I65" s="14"/>
      <c r="J65" s="14"/>
      <c r="K65" s="14"/>
      <c r="L65" s="14"/>
      <c r="M65" s="14"/>
    </row>
    <row r="66" customFormat="false" ht="15.75" hidden="false" customHeight="true" outlineLevel="0" collapsed="false">
      <c r="A66" s="7" t="n">
        <v>2024</v>
      </c>
      <c r="B66" s="8" t="s">
        <v>132</v>
      </c>
      <c r="C66" s="8" t="s">
        <v>134</v>
      </c>
      <c r="D66" s="9" t="n">
        <v>1</v>
      </c>
      <c r="E66" s="9" t="s">
        <v>21</v>
      </c>
      <c r="F66" s="8" t="s">
        <v>22</v>
      </c>
      <c r="G66" s="7" t="n">
        <v>85</v>
      </c>
      <c r="H66" s="7" t="n">
        <v>90</v>
      </c>
      <c r="I66" s="7" t="n">
        <v>25</v>
      </c>
      <c r="J66" s="7"/>
      <c r="K66" s="7"/>
      <c r="L66" s="7"/>
      <c r="M66" s="7"/>
    </row>
    <row r="67" customFormat="false" ht="15.75" hidden="false" customHeight="true" outlineLevel="0" collapsed="false">
      <c r="A67" s="7" t="n">
        <v>2024</v>
      </c>
      <c r="B67" s="8" t="s">
        <v>132</v>
      </c>
      <c r="C67" s="8" t="s">
        <v>20</v>
      </c>
      <c r="D67" s="9" t="n">
        <v>1</v>
      </c>
      <c r="E67" s="9" t="s">
        <v>21</v>
      </c>
      <c r="F67" s="8" t="s">
        <v>22</v>
      </c>
      <c r="G67" s="7" t="n">
        <v>38</v>
      </c>
      <c r="H67" s="7" t="n">
        <v>55</v>
      </c>
      <c r="I67" s="7"/>
      <c r="J67" s="7"/>
      <c r="K67" s="7"/>
      <c r="L67" s="7"/>
      <c r="M67" s="7"/>
    </row>
    <row r="68" customFormat="false" ht="15.75" hidden="false" customHeight="true" outlineLevel="0" collapsed="false">
      <c r="A68" s="60" t="n">
        <v>2024</v>
      </c>
      <c r="B68" s="61" t="s">
        <v>135</v>
      </c>
      <c r="C68" s="61" t="s">
        <v>136</v>
      </c>
      <c r="D68" s="62" t="n">
        <v>12</v>
      </c>
      <c r="E68" s="62" t="s">
        <v>137</v>
      </c>
      <c r="F68" s="61" t="s">
        <v>136</v>
      </c>
      <c r="G68" s="60" t="n">
        <v>129</v>
      </c>
      <c r="H68" s="60" t="n">
        <v>154</v>
      </c>
      <c r="I68" s="60" t="n">
        <v>65</v>
      </c>
      <c r="J68" s="60"/>
      <c r="K68" s="60"/>
      <c r="L68" s="60"/>
      <c r="M68" s="60"/>
    </row>
    <row r="69" customFormat="false" ht="15.75" hidden="false" customHeight="true" outlineLevel="0" collapsed="false">
      <c r="A69" s="63" t="n">
        <v>2024</v>
      </c>
      <c r="B69" s="64" t="s">
        <v>138</v>
      </c>
      <c r="C69" s="64" t="s">
        <v>139</v>
      </c>
      <c r="D69" s="65" t="n">
        <v>28</v>
      </c>
      <c r="E69" s="65"/>
      <c r="F69" s="64" t="s">
        <v>139</v>
      </c>
      <c r="G69" s="63"/>
      <c r="H69" s="63" t="n">
        <v>143</v>
      </c>
      <c r="I69" s="63"/>
      <c r="J69" s="63"/>
      <c r="K69" s="63"/>
      <c r="L69" s="63"/>
      <c r="M69" s="63"/>
    </row>
    <row r="70" customFormat="false" ht="15.75" hidden="false" customHeight="true" outlineLevel="0" collapsed="false">
      <c r="A70" s="7" t="n">
        <v>2024</v>
      </c>
      <c r="B70" s="8" t="s">
        <v>140</v>
      </c>
      <c r="C70" s="8" t="s">
        <v>141</v>
      </c>
      <c r="D70" s="9" t="n">
        <v>1</v>
      </c>
      <c r="E70" s="9" t="s">
        <v>21</v>
      </c>
      <c r="F70" s="8" t="s">
        <v>22</v>
      </c>
      <c r="G70" s="7" t="n">
        <v>90</v>
      </c>
      <c r="H70" s="7" t="n">
        <v>76</v>
      </c>
      <c r="I70" s="7" t="n">
        <v>18</v>
      </c>
      <c r="J70" s="7" t="n">
        <v>112</v>
      </c>
      <c r="K70" s="7" t="n">
        <v>41</v>
      </c>
      <c r="L70" s="7" t="n">
        <v>47</v>
      </c>
      <c r="M70" s="7" t="n">
        <v>14</v>
      </c>
    </row>
    <row r="71" customFormat="false" ht="15.75" hidden="false" customHeight="true" outlineLevel="0" collapsed="false">
      <c r="A71" s="7" t="n">
        <v>2024</v>
      </c>
      <c r="B71" s="8" t="s">
        <v>140</v>
      </c>
      <c r="C71" s="8" t="s">
        <v>142</v>
      </c>
      <c r="D71" s="9" t="n">
        <v>1</v>
      </c>
      <c r="E71" s="9" t="s">
        <v>21</v>
      </c>
      <c r="F71" s="8" t="s">
        <v>22</v>
      </c>
      <c r="G71" s="7"/>
      <c r="H71" s="7" t="n">
        <v>95</v>
      </c>
      <c r="I71" s="7"/>
      <c r="J71" s="7"/>
      <c r="K71" s="7"/>
      <c r="L71" s="7"/>
      <c r="M71" s="7"/>
    </row>
    <row r="72" customFormat="false" ht="15.75" hidden="false" customHeight="true" outlineLevel="0" collapsed="false">
      <c r="A72" s="7" t="n">
        <v>2024</v>
      </c>
      <c r="B72" s="8" t="s">
        <v>140</v>
      </c>
      <c r="C72" s="8" t="s">
        <v>143</v>
      </c>
      <c r="D72" s="9" t="n">
        <v>1</v>
      </c>
      <c r="E72" s="9" t="s">
        <v>21</v>
      </c>
      <c r="F72" s="8" t="s">
        <v>22</v>
      </c>
      <c r="G72" s="7"/>
      <c r="H72" s="7" t="n">
        <v>134</v>
      </c>
      <c r="I72" s="7"/>
      <c r="J72" s="7"/>
      <c r="K72" s="7"/>
      <c r="L72" s="7"/>
      <c r="M72" s="7"/>
    </row>
    <row r="73" customFormat="false" ht="18" hidden="false" customHeight="true" outlineLevel="0" collapsed="false">
      <c r="A73" s="13" t="n">
        <v>2024</v>
      </c>
      <c r="B73" s="13" t="s">
        <v>144</v>
      </c>
      <c r="C73" s="13"/>
      <c r="D73" s="13"/>
      <c r="E73" s="13"/>
      <c r="F73" s="13"/>
      <c r="G73" s="13" t="n">
        <f aca="false">SUMIF(G30:G72,"&lt;&gt;"&amp;"")</f>
        <v>2472</v>
      </c>
      <c r="H73" s="13" t="n">
        <f aca="false">SUMIF(H30:H72,"&lt;&gt;"&amp;"")</f>
        <v>2419</v>
      </c>
      <c r="I73" s="13" t="n">
        <f aca="false">SUMIF(I30:I72,"&lt;&gt;"&amp;"")</f>
        <v>737</v>
      </c>
      <c r="J73" s="13" t="n">
        <f aca="false">SUMIF(J30:J72,"&lt;&gt;"&amp;"")</f>
        <v>1728</v>
      </c>
      <c r="K73" s="13" t="n">
        <f aca="false">SUMIF(K30:K72,"&lt;&gt;"&amp;"")</f>
        <v>277</v>
      </c>
      <c r="L73" s="13" t="n">
        <f aca="false">SUMIF(L30:L72,"&lt;&gt;"&amp;"")</f>
        <v>3015</v>
      </c>
      <c r="M73" s="13" t="n">
        <f aca="false">SUMIF(M30:M72,"&lt;&gt;"&amp;"")</f>
        <v>666</v>
      </c>
    </row>
    <row r="74" customFormat="false" ht="15.75" hidden="false" customHeight="true" outlineLevel="0" collapsed="false"/>
    <row r="75" customFormat="false" ht="19.5" hidden="false" customHeight="true" outlineLevel="0" collapsed="false">
      <c r="A75" s="3" t="s">
        <v>145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customFormat="false" ht="15.75" hidden="false" customHeight="true" outlineLevel="0" collapsed="false">
      <c r="A76" s="7" t="n">
        <v>2025</v>
      </c>
      <c r="B76" s="8" t="s">
        <v>146</v>
      </c>
      <c r="C76" s="8" t="s">
        <v>147</v>
      </c>
      <c r="D76" s="9" t="n">
        <v>1</v>
      </c>
      <c r="E76" s="9" t="s">
        <v>21</v>
      </c>
      <c r="F76" s="8" t="s">
        <v>22</v>
      </c>
      <c r="G76" s="7" t="n">
        <v>91</v>
      </c>
      <c r="H76" s="7"/>
      <c r="I76" s="7"/>
      <c r="J76" s="7"/>
      <c r="K76" s="7"/>
      <c r="L76" s="7"/>
      <c r="M76" s="7"/>
    </row>
    <row r="77" customFormat="false" ht="15.75" hidden="false" customHeight="true" outlineLevel="0" collapsed="false">
      <c r="A77" s="33" t="n">
        <v>2025</v>
      </c>
      <c r="B77" s="34" t="s">
        <v>146</v>
      </c>
      <c r="C77" s="34" t="s">
        <v>148</v>
      </c>
      <c r="D77" s="35" t="n">
        <v>4</v>
      </c>
      <c r="E77" s="35" t="s">
        <v>64</v>
      </c>
      <c r="F77" s="34" t="s">
        <v>63</v>
      </c>
      <c r="G77" s="33" t="n">
        <v>17</v>
      </c>
      <c r="H77" s="33" t="n">
        <v>20</v>
      </c>
      <c r="I77" s="33" t="n">
        <v>10</v>
      </c>
      <c r="J77" s="33"/>
      <c r="K77" s="33"/>
      <c r="L77" s="33"/>
      <c r="M77" s="33"/>
    </row>
    <row r="78" customFormat="false" ht="15.75" hidden="false" customHeight="true" outlineLevel="0" collapsed="false">
      <c r="A78" s="66" t="n">
        <v>2025</v>
      </c>
      <c r="B78" s="67" t="s">
        <v>146</v>
      </c>
      <c r="C78" s="67" t="s">
        <v>149</v>
      </c>
      <c r="D78" s="68" t="n">
        <v>23</v>
      </c>
      <c r="E78" s="68" t="s">
        <v>150</v>
      </c>
      <c r="F78" s="67" t="s">
        <v>149</v>
      </c>
      <c r="G78" s="66" t="n">
        <v>129</v>
      </c>
      <c r="H78" s="66" t="n">
        <v>134</v>
      </c>
      <c r="I78" s="66" t="n">
        <v>73</v>
      </c>
      <c r="J78" s="66" t="n">
        <v>179</v>
      </c>
      <c r="K78" s="66" t="n">
        <v>144</v>
      </c>
      <c r="L78" s="66" t="n">
        <v>325</v>
      </c>
      <c r="M78" s="66" t="n">
        <v>52</v>
      </c>
    </row>
    <row r="79" customFormat="false" ht="15.75" hidden="false" customHeight="true" outlineLevel="0" collapsed="false">
      <c r="A79" s="7" t="n">
        <v>2025</v>
      </c>
      <c r="B79" s="8" t="s">
        <v>151</v>
      </c>
      <c r="C79" s="8" t="s">
        <v>147</v>
      </c>
      <c r="D79" s="9" t="n">
        <v>1</v>
      </c>
      <c r="E79" s="9" t="s">
        <v>21</v>
      </c>
      <c r="F79" s="8" t="s">
        <v>22</v>
      </c>
      <c r="G79" s="7" t="n">
        <v>115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</row>
    <row r="80" customFormat="false" ht="15.75" hidden="false" customHeight="true" outlineLevel="0" collapsed="false">
      <c r="A80" s="69" t="n">
        <v>2025</v>
      </c>
      <c r="B80" s="70" t="s">
        <v>151</v>
      </c>
      <c r="C80" s="70" t="s">
        <v>152</v>
      </c>
      <c r="D80" s="71" t="n">
        <v>20</v>
      </c>
      <c r="E80" s="71" t="s">
        <v>153</v>
      </c>
      <c r="F80" s="70" t="s">
        <v>152</v>
      </c>
      <c r="G80" s="69" t="n">
        <v>92</v>
      </c>
      <c r="H80" s="69" t="n">
        <v>105</v>
      </c>
      <c r="I80" s="69" t="n">
        <v>79</v>
      </c>
      <c r="J80" s="69" t="n">
        <v>196</v>
      </c>
      <c r="K80" s="69" t="n">
        <v>9</v>
      </c>
      <c r="L80" s="69" t="n">
        <v>283</v>
      </c>
      <c r="M80" s="69" t="n">
        <v>63</v>
      </c>
    </row>
    <row r="81" customFormat="false" ht="15.75" hidden="false" customHeight="true" outlineLevel="0" collapsed="false">
      <c r="A81" s="7" t="n">
        <v>2025</v>
      </c>
      <c r="B81" s="8" t="s">
        <v>154</v>
      </c>
      <c r="C81" s="8" t="s">
        <v>155</v>
      </c>
      <c r="D81" s="9" t="n">
        <v>1</v>
      </c>
      <c r="E81" s="9" t="s">
        <v>21</v>
      </c>
      <c r="F81" s="8" t="s">
        <v>22</v>
      </c>
      <c r="G81" s="7" t="n">
        <v>120</v>
      </c>
      <c r="H81" s="7" t="n">
        <v>0</v>
      </c>
      <c r="I81" s="7" t="n">
        <v>0</v>
      </c>
      <c r="J81" s="7" t="n">
        <v>0</v>
      </c>
      <c r="K81" s="7"/>
      <c r="L81" s="7"/>
      <c r="M81" s="7"/>
    </row>
    <row r="82" customFormat="false" ht="15.75" hidden="false" customHeight="true" outlineLevel="0" collapsed="false">
      <c r="A82" s="17" t="n">
        <v>2025</v>
      </c>
      <c r="B82" s="18" t="s">
        <v>154</v>
      </c>
      <c r="C82" s="18" t="s">
        <v>108</v>
      </c>
      <c r="D82" s="19" t="n">
        <v>8</v>
      </c>
      <c r="E82" s="19" t="s">
        <v>41</v>
      </c>
      <c r="F82" s="18" t="s">
        <v>40</v>
      </c>
      <c r="G82" s="17" t="n">
        <v>29</v>
      </c>
      <c r="H82" s="17" t="n">
        <v>30</v>
      </c>
      <c r="I82" s="17" t="n">
        <v>12</v>
      </c>
      <c r="J82" s="17"/>
      <c r="K82" s="17"/>
      <c r="L82" s="17"/>
      <c r="M82" s="17"/>
    </row>
    <row r="83" customFormat="false" ht="15.75" hidden="false" customHeight="true" outlineLevel="0" collapsed="false">
      <c r="A83" s="72" t="n">
        <v>2025</v>
      </c>
      <c r="B83" s="73" t="s">
        <v>154</v>
      </c>
      <c r="C83" s="73" t="s">
        <v>156</v>
      </c>
      <c r="D83" s="74" t="n">
        <v>17</v>
      </c>
      <c r="E83" s="74" t="s">
        <v>157</v>
      </c>
      <c r="F83" s="73" t="s">
        <v>156</v>
      </c>
      <c r="G83" s="72" t="n">
        <v>137</v>
      </c>
      <c r="H83" s="72" t="n">
        <v>168</v>
      </c>
      <c r="I83" s="72" t="n">
        <v>67</v>
      </c>
      <c r="J83" s="72" t="n">
        <v>347</v>
      </c>
      <c r="K83" s="72" t="n">
        <v>31</v>
      </c>
      <c r="L83" s="72" t="n">
        <v>250</v>
      </c>
      <c r="M83" s="72" t="n">
        <v>145</v>
      </c>
    </row>
    <row r="84" customFormat="false" ht="15.75" hidden="false" customHeight="true" outlineLevel="0" collapsed="false">
      <c r="A84" s="75" t="n">
        <v>2025</v>
      </c>
      <c r="B84" s="76" t="s">
        <v>158</v>
      </c>
      <c r="C84" s="76" t="s">
        <v>159</v>
      </c>
      <c r="D84" s="77" t="n">
        <v>24</v>
      </c>
      <c r="E84" s="77" t="s">
        <v>160</v>
      </c>
      <c r="F84" s="76" t="s">
        <v>159</v>
      </c>
      <c r="G84" s="75" t="n">
        <v>122</v>
      </c>
      <c r="H84" s="75" t="n">
        <v>143</v>
      </c>
      <c r="I84" s="75" t="n">
        <v>65</v>
      </c>
      <c r="J84" s="75" t="n">
        <v>266</v>
      </c>
      <c r="K84" s="75" t="n">
        <v>0</v>
      </c>
      <c r="L84" s="75" t="n">
        <v>0</v>
      </c>
      <c r="M84" s="75" t="n">
        <v>136</v>
      </c>
    </row>
    <row r="85" customFormat="false" ht="15.75" hidden="false" customHeight="true" outlineLevel="0" collapsed="false">
      <c r="A85" s="7" t="n">
        <v>2025</v>
      </c>
      <c r="B85" s="8" t="s">
        <v>161</v>
      </c>
      <c r="C85" s="8" t="s">
        <v>162</v>
      </c>
      <c r="D85" s="9" t="n">
        <v>1</v>
      </c>
      <c r="E85" s="9" t="s">
        <v>21</v>
      </c>
      <c r="F85" s="8" t="s">
        <v>22</v>
      </c>
      <c r="G85" s="7" t="n">
        <v>174</v>
      </c>
      <c r="H85" s="7" t="n">
        <v>86</v>
      </c>
      <c r="I85" s="7" t="n">
        <v>40</v>
      </c>
      <c r="J85" s="7"/>
      <c r="K85" s="7"/>
      <c r="L85" s="7"/>
      <c r="M85" s="7"/>
    </row>
    <row r="86" customFormat="false" ht="15.75" hidden="false" customHeight="true" outlineLevel="0" collapsed="false">
      <c r="A86" s="7" t="n">
        <v>2025</v>
      </c>
      <c r="B86" s="8" t="s">
        <v>163</v>
      </c>
      <c r="C86" s="8" t="s">
        <v>164</v>
      </c>
      <c r="D86" s="9" t="n">
        <v>1</v>
      </c>
      <c r="E86" s="9" t="s">
        <v>21</v>
      </c>
      <c r="F86" s="8" t="s">
        <v>22</v>
      </c>
      <c r="G86" s="7" t="n">
        <v>101</v>
      </c>
      <c r="H86" s="7"/>
      <c r="I86" s="7"/>
      <c r="J86" s="7"/>
      <c r="K86" s="7"/>
      <c r="L86" s="7"/>
      <c r="M86" s="7"/>
    </row>
    <row r="87" customFormat="false" ht="15.75" hidden="false" customHeight="true" outlineLevel="0" collapsed="false">
      <c r="A87" s="78" t="n">
        <v>2025</v>
      </c>
      <c r="B87" s="79" t="s">
        <v>163</v>
      </c>
      <c r="C87" s="79" t="s">
        <v>165</v>
      </c>
      <c r="D87" s="80" t="n">
        <v>15</v>
      </c>
      <c r="E87" s="80" t="s">
        <v>166</v>
      </c>
      <c r="F87" s="79" t="s">
        <v>165</v>
      </c>
      <c r="G87" s="78" t="n">
        <v>99</v>
      </c>
      <c r="H87" s="78" t="n">
        <v>152</v>
      </c>
      <c r="I87" s="78" t="n">
        <v>53</v>
      </c>
      <c r="J87" s="78" t="n">
        <v>151</v>
      </c>
      <c r="K87" s="78" t="n">
        <v>30</v>
      </c>
      <c r="L87" s="78" t="n">
        <v>364</v>
      </c>
      <c r="M87" s="78" t="n">
        <v>24</v>
      </c>
    </row>
    <row r="88" customFormat="false" ht="15.75" hidden="false" customHeight="true" outlineLevel="0" collapsed="false">
      <c r="A88" s="7" t="n">
        <v>2025</v>
      </c>
      <c r="B88" s="8" t="s">
        <v>167</v>
      </c>
      <c r="C88" s="8" t="s">
        <v>126</v>
      </c>
      <c r="D88" s="9" t="n">
        <v>1</v>
      </c>
      <c r="E88" s="9" t="s">
        <v>21</v>
      </c>
      <c r="F88" s="8" t="s">
        <v>22</v>
      </c>
      <c r="G88" s="7" t="n">
        <v>172</v>
      </c>
      <c r="H88" s="7"/>
      <c r="I88" s="7"/>
      <c r="J88" s="7"/>
      <c r="K88" s="7"/>
      <c r="L88" s="7"/>
      <c r="M88" s="7"/>
    </row>
    <row r="89" customFormat="false" ht="15.75" hidden="false" customHeight="true" outlineLevel="0" collapsed="false">
      <c r="A89" s="7" t="n">
        <v>2025</v>
      </c>
      <c r="B89" s="8" t="s">
        <v>167</v>
      </c>
      <c r="C89" s="8" t="s">
        <v>22</v>
      </c>
      <c r="D89" s="9" t="n">
        <v>1</v>
      </c>
      <c r="E89" s="9" t="s">
        <v>21</v>
      </c>
      <c r="F89" s="8" t="s">
        <v>22</v>
      </c>
      <c r="G89" s="7" t="n">
        <v>174</v>
      </c>
      <c r="H89" s="7"/>
      <c r="I89" s="7" t="n">
        <v>10</v>
      </c>
      <c r="J89" s="7"/>
      <c r="K89" s="7"/>
      <c r="L89" s="7"/>
      <c r="M89" s="7"/>
    </row>
    <row r="90" customFormat="false" ht="15.75" hidden="false" customHeight="true" outlineLevel="0" collapsed="false">
      <c r="A90" s="48" t="n">
        <v>2025</v>
      </c>
      <c r="B90" s="49" t="s">
        <v>167</v>
      </c>
      <c r="C90" s="49" t="s">
        <v>104</v>
      </c>
      <c r="D90" s="50" t="n">
        <v>10</v>
      </c>
      <c r="E90" s="50" t="s">
        <v>105</v>
      </c>
      <c r="F90" s="49" t="s">
        <v>104</v>
      </c>
      <c r="G90" s="48" t="n">
        <v>148</v>
      </c>
      <c r="H90" s="48" t="n">
        <v>210</v>
      </c>
      <c r="I90" s="48" t="n">
        <v>78</v>
      </c>
      <c r="J90" s="48" t="n">
        <v>280</v>
      </c>
      <c r="K90" s="48" t="n">
        <v>36</v>
      </c>
      <c r="L90" s="48" t="n">
        <v>553</v>
      </c>
      <c r="M90" s="48" t="n">
        <v>60</v>
      </c>
    </row>
    <row r="91" customFormat="false" ht="15.75" hidden="false" customHeight="true" outlineLevel="0" collapsed="false">
      <c r="A91" s="7" t="n">
        <v>2025</v>
      </c>
      <c r="B91" s="8" t="s">
        <v>168</v>
      </c>
      <c r="C91" s="8" t="s">
        <v>22</v>
      </c>
      <c r="D91" s="9" t="n">
        <v>1</v>
      </c>
      <c r="E91" s="9" t="s">
        <v>21</v>
      </c>
      <c r="F91" s="8" t="s">
        <v>22</v>
      </c>
      <c r="G91" s="7" t="n">
        <v>65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</row>
    <row r="92" customFormat="false" ht="15.75" hidden="false" customHeight="true" outlineLevel="0" collapsed="false">
      <c r="A92" s="81" t="n">
        <v>2025</v>
      </c>
      <c r="B92" s="82" t="s">
        <v>169</v>
      </c>
      <c r="C92" s="82" t="s">
        <v>170</v>
      </c>
      <c r="D92" s="83" t="n">
        <v>25</v>
      </c>
      <c r="E92" s="83" t="s">
        <v>171</v>
      </c>
      <c r="F92" s="82" t="s">
        <v>170</v>
      </c>
      <c r="G92" s="81" t="n">
        <v>76</v>
      </c>
      <c r="H92" s="81" t="n">
        <v>148</v>
      </c>
      <c r="I92" s="81" t="n">
        <v>86</v>
      </c>
      <c r="J92" s="81" t="n">
        <v>271</v>
      </c>
      <c r="K92" s="81" t="n">
        <v>30</v>
      </c>
      <c r="L92" s="81" t="n">
        <v>380</v>
      </c>
      <c r="M92" s="81" t="n">
        <v>44</v>
      </c>
    </row>
    <row r="93" customFormat="false" ht="15.75" hidden="false" customHeight="true" outlineLevel="0" collapsed="false">
      <c r="A93" s="84" t="n">
        <v>2025</v>
      </c>
      <c r="B93" s="85" t="s">
        <v>172</v>
      </c>
      <c r="C93" s="85" t="s">
        <v>173</v>
      </c>
      <c r="D93" s="86" t="n">
        <v>26</v>
      </c>
      <c r="E93" s="86" t="s">
        <v>174</v>
      </c>
      <c r="F93" s="85" t="s">
        <v>173</v>
      </c>
      <c r="G93" s="84" t="n">
        <v>72</v>
      </c>
      <c r="H93" s="84" t="n">
        <v>173</v>
      </c>
      <c r="I93" s="84" t="n">
        <v>29</v>
      </c>
      <c r="J93" s="84" t="n">
        <v>139</v>
      </c>
      <c r="K93" s="84" t="n">
        <v>14</v>
      </c>
      <c r="L93" s="84" t="n">
        <v>349</v>
      </c>
      <c r="M93" s="84" t="n">
        <v>15</v>
      </c>
    </row>
    <row r="94" customFormat="false" ht="15.75" hidden="false" customHeight="true" outlineLevel="0" collapsed="false">
      <c r="A94" s="7" t="n">
        <v>2025</v>
      </c>
      <c r="B94" s="8" t="s">
        <v>175</v>
      </c>
      <c r="C94" s="8" t="s">
        <v>20</v>
      </c>
      <c r="D94" s="9" t="n">
        <v>1</v>
      </c>
      <c r="E94" s="9" t="s">
        <v>21</v>
      </c>
      <c r="F94" s="8" t="s">
        <v>22</v>
      </c>
      <c r="G94" s="7" t="n">
        <v>66</v>
      </c>
      <c r="H94" s="7" t="n">
        <v>69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</row>
    <row r="95" customFormat="false" ht="18" hidden="false" customHeight="true" outlineLevel="0" collapsed="false">
      <c r="A95" s="13" t="n">
        <v>2025</v>
      </c>
      <c r="B95" s="13" t="s">
        <v>176</v>
      </c>
      <c r="C95" s="13"/>
      <c r="D95" s="13"/>
      <c r="E95" s="13"/>
      <c r="F95" s="13"/>
      <c r="G95" s="13" t="n">
        <f aca="false">SUMIF(G76:G94,"&lt;&gt;"&amp;"")</f>
        <v>1999</v>
      </c>
      <c r="H95" s="13" t="n">
        <f aca="false">SUMIF(H76:H94,"&lt;&gt;"&amp;"")</f>
        <v>1438</v>
      </c>
      <c r="I95" s="13" t="n">
        <f aca="false">SUMIF(I76:I94,"&lt;&gt;"&amp;"")</f>
        <v>602</v>
      </c>
      <c r="J95" s="13" t="n">
        <f aca="false">SUMIF(J76:J94,"&lt;&gt;"&amp;"")</f>
        <v>1829</v>
      </c>
      <c r="K95" s="13" t="n">
        <f aca="false">SUMIF(K76:K94,"&lt;&gt;"&amp;"")</f>
        <v>294</v>
      </c>
      <c r="L95" s="13" t="n">
        <f aca="false">SUMIF(L76:L94,"&lt;&gt;"&amp;"")</f>
        <v>2504</v>
      </c>
      <c r="M95" s="13" t="n">
        <f aca="false">SUMIF(M76:M94,"&lt;&gt;"&amp;"")</f>
        <v>539</v>
      </c>
    </row>
    <row r="96" customFormat="false" ht="15.75" hidden="false" customHeight="true" outlineLevel="0" collapsed="false"/>
    <row r="97" customFormat="false" ht="19.5" hidden="false" customHeight="true" outlineLevel="0" collapsed="false">
      <c r="A97" s="3" t="s">
        <v>177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customFormat="false" ht="15.75" hidden="false" customHeight="true" outlineLevel="0" collapsed="false">
      <c r="A98" s="87" t="n">
        <v>2026</v>
      </c>
      <c r="B98" s="88" t="s">
        <v>178</v>
      </c>
      <c r="C98" s="88" t="s">
        <v>179</v>
      </c>
      <c r="D98" s="89" t="n">
        <v>22</v>
      </c>
      <c r="E98" s="89" t="s">
        <v>180</v>
      </c>
      <c r="F98" s="88" t="s">
        <v>179</v>
      </c>
      <c r="G98" s="87" t="n">
        <v>109</v>
      </c>
      <c r="H98" s="87" t="n">
        <v>146</v>
      </c>
      <c r="I98" s="87" t="n">
        <v>82</v>
      </c>
      <c r="J98" s="87" t="n">
        <v>271</v>
      </c>
      <c r="K98" s="87" t="n">
        <v>30</v>
      </c>
      <c r="L98" s="87" t="n">
        <v>380</v>
      </c>
      <c r="M98" s="87" t="n">
        <v>44</v>
      </c>
    </row>
    <row r="99" customFormat="false" ht="15.75" hidden="false" customHeight="true" outlineLevel="0" collapsed="false">
      <c r="A99" s="14" t="n">
        <v>2026</v>
      </c>
      <c r="B99" s="15" t="s">
        <v>181</v>
      </c>
      <c r="C99" s="15" t="s">
        <v>36</v>
      </c>
      <c r="D99" s="16" t="n">
        <v>7</v>
      </c>
      <c r="E99" s="16" t="s">
        <v>35</v>
      </c>
      <c r="F99" s="15" t="s">
        <v>36</v>
      </c>
      <c r="G99" s="14" t="n">
        <v>120</v>
      </c>
      <c r="H99" s="14" t="n">
        <v>131</v>
      </c>
      <c r="I99" s="14" t="n">
        <v>49</v>
      </c>
      <c r="J99" s="14" t="n">
        <v>267</v>
      </c>
      <c r="K99" s="14" t="n">
        <v>4</v>
      </c>
      <c r="L99" s="14" t="n">
        <v>172</v>
      </c>
      <c r="M99" s="14" t="n">
        <v>136</v>
      </c>
    </row>
    <row r="100" customFormat="false" ht="15.75" hidden="false" customHeight="true" outlineLevel="0" collapsed="false">
      <c r="A100" s="14" t="n">
        <v>2026</v>
      </c>
      <c r="B100" s="15" t="s">
        <v>181</v>
      </c>
      <c r="C100" s="15" t="s">
        <v>182</v>
      </c>
      <c r="D100" s="16" t="n">
        <v>1</v>
      </c>
      <c r="E100" s="9" t="s">
        <v>21</v>
      </c>
      <c r="F100" s="15" t="s">
        <v>22</v>
      </c>
      <c r="G100" s="14" t="n">
        <v>0</v>
      </c>
      <c r="H100" s="14" t="n">
        <v>77</v>
      </c>
      <c r="I100" s="14"/>
      <c r="J100" s="14"/>
      <c r="K100" s="14"/>
      <c r="L100" s="14"/>
      <c r="M100" s="14"/>
    </row>
    <row r="101" customFormat="false" ht="15" hidden="false" customHeight="true" outlineLevel="0" collapsed="false">
      <c r="A101" s="14" t="n">
        <v>2026</v>
      </c>
      <c r="B101" s="15" t="s">
        <v>181</v>
      </c>
      <c r="C101" s="15" t="s">
        <v>183</v>
      </c>
      <c r="D101" s="16" t="n">
        <v>1</v>
      </c>
      <c r="E101" s="9" t="s">
        <v>21</v>
      </c>
      <c r="F101" s="15" t="s">
        <v>22</v>
      </c>
      <c r="G101" s="14" t="n">
        <v>52</v>
      </c>
      <c r="H101" s="14" t="n">
        <v>50</v>
      </c>
      <c r="I101" s="14"/>
      <c r="J101" s="14"/>
      <c r="K101" s="14"/>
      <c r="L101" s="14"/>
      <c r="M101" s="14"/>
    </row>
    <row r="102" customFormat="false" ht="15" hidden="false" customHeight="true" outlineLevel="0" collapsed="false">
      <c r="A102" s="14" t="n">
        <v>2026</v>
      </c>
      <c r="B102" s="15" t="s">
        <v>181</v>
      </c>
      <c r="C102" s="15" t="s">
        <v>18</v>
      </c>
      <c r="D102" s="16" t="n">
        <v>2</v>
      </c>
      <c r="E102" s="6" t="s">
        <v>17</v>
      </c>
      <c r="F102" s="15" t="s">
        <v>18</v>
      </c>
      <c r="G102" s="14" t="n">
        <v>25</v>
      </c>
      <c r="H102" s="14"/>
      <c r="I102" s="14"/>
      <c r="J102" s="14"/>
      <c r="K102" s="14"/>
      <c r="L102" s="14"/>
      <c r="M102" s="14"/>
    </row>
    <row r="103" customFormat="false" ht="15" hidden="false" customHeight="true" outlineLevel="0" collapsed="false">
      <c r="A103" s="14" t="n">
        <v>2026</v>
      </c>
      <c r="B103" s="15" t="s">
        <v>181</v>
      </c>
      <c r="C103" s="15" t="s">
        <v>184</v>
      </c>
      <c r="D103" s="16" t="n">
        <v>28</v>
      </c>
      <c r="E103" s="6" t="n">
        <v>2518185</v>
      </c>
      <c r="F103" s="15" t="s">
        <v>185</v>
      </c>
      <c r="G103" s="14" t="n">
        <v>122</v>
      </c>
      <c r="H103" s="14" t="n">
        <v>144</v>
      </c>
      <c r="I103" s="14" t="n">
        <v>85</v>
      </c>
      <c r="J103" s="14" t="n">
        <v>71</v>
      </c>
      <c r="K103" s="14" t="n">
        <v>31</v>
      </c>
      <c r="L103" s="14" t="n">
        <v>310</v>
      </c>
      <c r="M103" s="14" t="n">
        <v>36</v>
      </c>
    </row>
    <row r="104" customFormat="false" ht="15" hidden="false" customHeight="true" outlineLevel="0" collapsed="false">
      <c r="A104" s="14" t="n">
        <v>2026</v>
      </c>
      <c r="B104" s="15" t="s">
        <v>186</v>
      </c>
      <c r="C104" s="15" t="s">
        <v>187</v>
      </c>
      <c r="D104" s="16" t="n">
        <v>1</v>
      </c>
      <c r="E104" s="6" t="n">
        <v>4040376</v>
      </c>
      <c r="F104" s="15" t="s">
        <v>22</v>
      </c>
      <c r="G104" s="14" t="n">
        <v>148</v>
      </c>
      <c r="H104" s="14" t="n">
        <v>124</v>
      </c>
      <c r="I104" s="14" t="n">
        <v>14</v>
      </c>
      <c r="J104" s="14"/>
      <c r="K104" s="14"/>
      <c r="L104" s="14"/>
      <c r="M104" s="14"/>
    </row>
    <row r="105" customFormat="false" ht="15" hidden="false" customHeight="true" outlineLevel="0" collapsed="false">
      <c r="A105" s="14" t="n">
        <v>2026</v>
      </c>
      <c r="B105" s="15" t="s">
        <v>188</v>
      </c>
      <c r="C105" s="15" t="s">
        <v>48</v>
      </c>
      <c r="D105" s="16"/>
      <c r="E105" s="6"/>
      <c r="F105" s="15" t="s">
        <v>48</v>
      </c>
      <c r="G105" s="14" t="n">
        <v>119</v>
      </c>
      <c r="H105" s="14" t="n">
        <v>171</v>
      </c>
      <c r="I105" s="14" t="n">
        <v>60</v>
      </c>
      <c r="J105" s="14" t="n">
        <v>142</v>
      </c>
      <c r="K105" s="14" t="n">
        <v>14</v>
      </c>
      <c r="L105" s="14" t="n">
        <v>240</v>
      </c>
      <c r="M105" s="14" t="n">
        <v>17</v>
      </c>
    </row>
    <row r="106" customFormat="false" ht="15" hidden="false" customHeight="true" outlineLevel="0" collapsed="false">
      <c r="A106" s="14" t="n">
        <v>2026</v>
      </c>
      <c r="B106" s="15" t="s">
        <v>188</v>
      </c>
      <c r="C106" s="15"/>
      <c r="D106" s="16"/>
      <c r="E106" s="6"/>
      <c r="F106" s="15"/>
      <c r="G106" s="14" t="n">
        <f aca="false">SUM(G98:G105)</f>
        <v>695</v>
      </c>
      <c r="H106" s="14" t="n">
        <f aca="false">SUM(H98:H105)</f>
        <v>843</v>
      </c>
      <c r="I106" s="14" t="n">
        <f aca="false">SUM(I98:I105)</f>
        <v>290</v>
      </c>
      <c r="J106" s="14" t="n">
        <f aca="false">SUM(J98:J105)</f>
        <v>751</v>
      </c>
      <c r="K106" s="14" t="n">
        <f aca="false">SUM(K98:K105)</f>
        <v>79</v>
      </c>
      <c r="L106" s="14" t="n">
        <f aca="false">SUM(L98:L105)</f>
        <v>1102</v>
      </c>
      <c r="M106" s="14"/>
    </row>
    <row r="107" customFormat="false" ht="15" hidden="false" customHeight="true" outlineLevel="0" collapsed="false">
      <c r="A107" s="14" t="n">
        <v>2026</v>
      </c>
      <c r="B107" s="15" t="s">
        <v>189</v>
      </c>
      <c r="C107" s="15"/>
      <c r="D107" s="16"/>
      <c r="E107" s="6"/>
      <c r="F107" s="15"/>
      <c r="G107" s="14"/>
      <c r="H107" s="14"/>
      <c r="I107" s="14"/>
      <c r="J107" s="14"/>
      <c r="K107" s="14"/>
      <c r="L107" s="14"/>
      <c r="M107" s="14"/>
    </row>
    <row r="108" customFormat="false" ht="18" hidden="false" customHeight="true" outlineLevel="0" collapsed="false">
      <c r="A108" s="13" t="n">
        <v>2026</v>
      </c>
      <c r="B108" s="13" t="s">
        <v>190</v>
      </c>
      <c r="C108" s="90"/>
      <c r="D108" s="90"/>
      <c r="E108" s="90"/>
      <c r="F108" s="91"/>
      <c r="H108" s="13"/>
      <c r="I108" s="13"/>
      <c r="J108" s="13"/>
      <c r="K108" s="13"/>
      <c r="L108" s="13"/>
      <c r="M108" s="13"/>
    </row>
    <row r="109" customFormat="false" ht="15.75" hidden="false" customHeight="true" outlineLevel="0" collapsed="false"/>
    <row r="110" customFormat="false" ht="21.75" hidden="false" customHeight="true" outlineLevel="0" collapsed="false">
      <c r="A110" s="92" t="s">
        <v>191</v>
      </c>
      <c r="B110" s="92"/>
      <c r="C110" s="92"/>
      <c r="D110" s="92"/>
      <c r="E110" s="92"/>
      <c r="F110" s="92"/>
      <c r="G110" s="92" t="n">
        <f aca="false">0+748+2472+G95+G106</f>
        <v>5914</v>
      </c>
      <c r="H110" s="92" t="n">
        <f aca="false">0+455+2765+H95+H106</f>
        <v>5501</v>
      </c>
      <c r="I110" s="93" t="n">
        <f aca="false">0+240+145+I95+I106</f>
        <v>1277</v>
      </c>
      <c r="J110" s="93" t="n">
        <f aca="false">0+1078+1620+J95+J106</f>
        <v>5278</v>
      </c>
      <c r="K110" s="93" t="n">
        <f aca="false">0+0+0+K95+K106</f>
        <v>373</v>
      </c>
      <c r="L110" s="93" t="n">
        <f aca="false">0+0+0+L95+L106</f>
        <v>3606</v>
      </c>
      <c r="M110" s="94"/>
    </row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>
      <c r="G114" s="20" t="n">
        <v>5434</v>
      </c>
      <c r="H114" s="20" t="n">
        <v>5039</v>
      </c>
    </row>
    <row r="115" customFormat="false" ht="15.75" hidden="false" customHeight="true" outlineLevel="0" collapsed="false">
      <c r="G115" s="20" t="n">
        <v>252</v>
      </c>
      <c r="H115" s="20" t="s">
        <v>192</v>
      </c>
    </row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</sheetData>
  <mergeCells count="11">
    <mergeCell ref="A1:M1"/>
    <mergeCell ref="A3:M3"/>
    <mergeCell ref="B8:F8"/>
    <mergeCell ref="A10:M10"/>
    <mergeCell ref="B27:F27"/>
    <mergeCell ref="A29:M29"/>
    <mergeCell ref="B73:F73"/>
    <mergeCell ref="A75:M75"/>
    <mergeCell ref="B95:F95"/>
    <mergeCell ref="A97:M97"/>
    <mergeCell ref="A110:F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35"/>
    <col collapsed="false" customWidth="true" hidden="false" outlineLevel="0" max="26" min="6" style="0" width="8.71"/>
  </cols>
  <sheetData>
    <row r="1" customFormat="false" ht="27.75" hidden="false" customHeight="true" outlineLevel="0" collapsed="false">
      <c r="A1" s="95" t="s">
        <v>193</v>
      </c>
      <c r="B1" s="95"/>
      <c r="C1" s="95"/>
      <c r="D1" s="95"/>
      <c r="E1" s="95"/>
    </row>
    <row r="2" customFormat="false" ht="19.5" hidden="false" customHeight="true" outlineLevel="0" collapsed="false">
      <c r="A2" s="96" t="s">
        <v>194</v>
      </c>
      <c r="B2" s="96" t="s">
        <v>6</v>
      </c>
      <c r="C2" s="96" t="s">
        <v>5</v>
      </c>
      <c r="D2" s="96" t="s">
        <v>195</v>
      </c>
      <c r="E2" s="96" t="s">
        <v>196</v>
      </c>
    </row>
    <row r="3" customFormat="false" ht="16.5" hidden="false" customHeight="true" outlineLevel="0" collapsed="false">
      <c r="A3" s="97" t="n">
        <v>1</v>
      </c>
      <c r="B3" s="98" t="s">
        <v>22</v>
      </c>
      <c r="C3" s="99" t="s">
        <v>21</v>
      </c>
      <c r="D3" s="98" t="s">
        <v>19</v>
      </c>
      <c r="E3" s="98"/>
    </row>
    <row r="4" customFormat="false" ht="16.5" hidden="false" customHeight="true" outlineLevel="0" collapsed="false">
      <c r="A4" s="100" t="n">
        <v>2</v>
      </c>
      <c r="B4" s="101" t="s">
        <v>18</v>
      </c>
      <c r="C4" s="102" t="s">
        <v>17</v>
      </c>
      <c r="D4" s="101" t="s">
        <v>15</v>
      </c>
      <c r="E4" s="101"/>
    </row>
    <row r="5" customFormat="false" ht="16.5" hidden="false" customHeight="true" outlineLevel="0" collapsed="false">
      <c r="A5" s="103" t="n">
        <v>3</v>
      </c>
      <c r="B5" s="104" t="s">
        <v>86</v>
      </c>
      <c r="C5" s="105" t="s">
        <v>87</v>
      </c>
      <c r="D5" s="104" t="s">
        <v>85</v>
      </c>
      <c r="E5" s="104"/>
    </row>
    <row r="6" customFormat="false" ht="16.5" hidden="false" customHeight="true" outlineLevel="0" collapsed="false">
      <c r="A6" s="106" t="n">
        <v>4</v>
      </c>
      <c r="B6" s="107" t="s">
        <v>63</v>
      </c>
      <c r="C6" s="108" t="s">
        <v>64</v>
      </c>
      <c r="D6" s="107" t="s">
        <v>62</v>
      </c>
      <c r="E6" s="107"/>
    </row>
    <row r="7" customFormat="false" ht="16.5" hidden="false" customHeight="true" outlineLevel="0" collapsed="false">
      <c r="A7" s="109" t="n">
        <v>5</v>
      </c>
      <c r="B7" s="110" t="s">
        <v>72</v>
      </c>
      <c r="C7" s="111" t="s">
        <v>73</v>
      </c>
      <c r="D7" s="110" t="s">
        <v>71</v>
      </c>
      <c r="E7" s="110"/>
    </row>
    <row r="8" customFormat="false" ht="16.5" hidden="false" customHeight="true" outlineLevel="0" collapsed="false">
      <c r="A8" s="112" t="n">
        <v>6</v>
      </c>
      <c r="B8" s="113" t="s">
        <v>48</v>
      </c>
      <c r="C8" s="114" t="s">
        <v>49</v>
      </c>
      <c r="D8" s="113" t="s">
        <v>47</v>
      </c>
      <c r="E8" s="113"/>
    </row>
    <row r="9" customFormat="false" ht="16.5" hidden="false" customHeight="true" outlineLevel="0" collapsed="false">
      <c r="A9" s="115" t="n">
        <v>7</v>
      </c>
      <c r="B9" s="116" t="s">
        <v>36</v>
      </c>
      <c r="C9" s="117" t="s">
        <v>35</v>
      </c>
      <c r="D9" s="116" t="s">
        <v>33</v>
      </c>
      <c r="E9" s="116"/>
    </row>
    <row r="10" customFormat="false" ht="16.5" hidden="false" customHeight="true" outlineLevel="0" collapsed="false">
      <c r="A10" s="118" t="n">
        <v>8</v>
      </c>
      <c r="B10" s="119" t="s">
        <v>40</v>
      </c>
      <c r="C10" s="120" t="s">
        <v>41</v>
      </c>
      <c r="D10" s="119" t="s">
        <v>39</v>
      </c>
      <c r="E10" s="119"/>
    </row>
    <row r="11" customFormat="false" ht="16.5" hidden="false" customHeight="true" outlineLevel="0" collapsed="false">
      <c r="A11" s="121" t="n">
        <v>9</v>
      </c>
      <c r="B11" s="122" t="s">
        <v>45</v>
      </c>
      <c r="C11" s="123" t="s">
        <v>46</v>
      </c>
      <c r="D11" s="122" t="s">
        <v>44</v>
      </c>
      <c r="E11" s="122"/>
    </row>
    <row r="12" customFormat="false" ht="16.5" hidden="false" customHeight="true" outlineLevel="0" collapsed="false">
      <c r="A12" s="124" t="n">
        <v>10</v>
      </c>
      <c r="B12" s="125" t="s">
        <v>104</v>
      </c>
      <c r="C12" s="126" t="s">
        <v>105</v>
      </c>
      <c r="D12" s="125" t="s">
        <v>103</v>
      </c>
      <c r="E12" s="125"/>
    </row>
    <row r="13" customFormat="false" ht="16.5" hidden="false" customHeight="true" outlineLevel="0" collapsed="false">
      <c r="A13" s="127" t="n">
        <v>11</v>
      </c>
      <c r="B13" s="128" t="s">
        <v>51</v>
      </c>
      <c r="C13" s="129" t="s">
        <v>52</v>
      </c>
      <c r="D13" s="128" t="s">
        <v>50</v>
      </c>
      <c r="E13" s="128"/>
    </row>
    <row r="14" customFormat="false" ht="16.5" hidden="false" customHeight="true" outlineLevel="0" collapsed="false">
      <c r="A14" s="130" t="n">
        <v>12</v>
      </c>
      <c r="B14" s="131" t="s">
        <v>136</v>
      </c>
      <c r="C14" s="132" t="s">
        <v>137</v>
      </c>
      <c r="D14" s="131" t="s">
        <v>135</v>
      </c>
      <c r="E14" s="131"/>
    </row>
    <row r="15" customFormat="false" ht="16.5" hidden="false" customHeight="true" outlineLevel="0" collapsed="false">
      <c r="A15" s="133" t="n">
        <v>13</v>
      </c>
      <c r="B15" s="134" t="s">
        <v>124</v>
      </c>
      <c r="C15" s="135" t="s">
        <v>123</v>
      </c>
      <c r="D15" s="134" t="s">
        <v>197</v>
      </c>
      <c r="E15" s="134"/>
    </row>
    <row r="16" customFormat="false" ht="16.5" hidden="false" customHeight="true" outlineLevel="0" collapsed="false">
      <c r="A16" s="136" t="n">
        <v>14</v>
      </c>
      <c r="B16" s="137" t="s">
        <v>79</v>
      </c>
      <c r="C16" s="138" t="s">
        <v>80</v>
      </c>
      <c r="D16" s="137" t="s">
        <v>78</v>
      </c>
      <c r="E16" s="137"/>
    </row>
    <row r="17" customFormat="false" ht="16.5" hidden="false" customHeight="true" outlineLevel="0" collapsed="false">
      <c r="A17" s="139" t="n">
        <v>15</v>
      </c>
      <c r="B17" s="140" t="s">
        <v>165</v>
      </c>
      <c r="C17" s="141" t="s">
        <v>166</v>
      </c>
      <c r="D17" s="140" t="s">
        <v>163</v>
      </c>
      <c r="E17" s="140"/>
    </row>
    <row r="18" customFormat="false" ht="16.5" hidden="false" customHeight="true" outlineLevel="0" collapsed="false">
      <c r="A18" s="142" t="n">
        <v>16</v>
      </c>
      <c r="B18" s="143" t="s">
        <v>57</v>
      </c>
      <c r="C18" s="144" t="s">
        <v>58</v>
      </c>
      <c r="D18" s="143" t="s">
        <v>56</v>
      </c>
      <c r="E18" s="143"/>
    </row>
    <row r="19" customFormat="false" ht="16.5" hidden="false" customHeight="true" outlineLevel="0" collapsed="false">
      <c r="A19" s="145" t="n">
        <v>17</v>
      </c>
      <c r="B19" s="146" t="s">
        <v>156</v>
      </c>
      <c r="C19" s="147" t="s">
        <v>157</v>
      </c>
      <c r="D19" s="146" t="s">
        <v>154</v>
      </c>
      <c r="E19" s="146"/>
    </row>
    <row r="20" customFormat="false" ht="16.5" hidden="false" customHeight="true" outlineLevel="0" collapsed="false">
      <c r="A20" s="148" t="n">
        <v>18</v>
      </c>
      <c r="B20" s="149" t="s">
        <v>110</v>
      </c>
      <c r="C20" s="150" t="s">
        <v>111</v>
      </c>
      <c r="D20" s="149" t="s">
        <v>109</v>
      </c>
      <c r="E20" s="149"/>
    </row>
    <row r="21" customFormat="false" ht="16.5" hidden="false" customHeight="true" outlineLevel="0" collapsed="false">
      <c r="A21" s="151" t="n">
        <v>19</v>
      </c>
      <c r="B21" s="152" t="s">
        <v>130</v>
      </c>
      <c r="C21" s="153" t="s">
        <v>131</v>
      </c>
      <c r="D21" s="152" t="s">
        <v>129</v>
      </c>
      <c r="E21" s="152"/>
    </row>
    <row r="22" customFormat="false" ht="16.5" hidden="false" customHeight="true" outlineLevel="0" collapsed="false">
      <c r="A22" s="154" t="n">
        <v>20</v>
      </c>
      <c r="B22" s="155" t="s">
        <v>152</v>
      </c>
      <c r="C22" s="156" t="s">
        <v>153</v>
      </c>
      <c r="D22" s="155" t="s">
        <v>151</v>
      </c>
      <c r="E22" s="155"/>
    </row>
    <row r="23" customFormat="false" ht="16.5" hidden="false" customHeight="true" outlineLevel="0" collapsed="false">
      <c r="A23" s="157" t="n">
        <v>21</v>
      </c>
      <c r="B23" s="158" t="s">
        <v>96</v>
      </c>
      <c r="C23" s="159" t="s">
        <v>97</v>
      </c>
      <c r="D23" s="158" t="s">
        <v>93</v>
      </c>
      <c r="E23" s="158"/>
    </row>
    <row r="24" customFormat="false" ht="16.5" hidden="false" customHeight="true" outlineLevel="0" collapsed="false">
      <c r="A24" s="160" t="n">
        <v>22</v>
      </c>
      <c r="B24" s="161" t="s">
        <v>179</v>
      </c>
      <c r="C24" s="162" t="s">
        <v>180</v>
      </c>
      <c r="D24" s="161" t="s">
        <v>178</v>
      </c>
      <c r="E24" s="161"/>
    </row>
    <row r="25" customFormat="false" ht="16.5" hidden="false" customHeight="true" outlineLevel="0" collapsed="false">
      <c r="A25" s="163" t="n">
        <v>23</v>
      </c>
      <c r="B25" s="164" t="s">
        <v>149</v>
      </c>
      <c r="C25" s="165" t="s">
        <v>150</v>
      </c>
      <c r="D25" s="164" t="s">
        <v>146</v>
      </c>
      <c r="E25" s="164"/>
    </row>
    <row r="26" customFormat="false" ht="16.5" hidden="false" customHeight="true" outlineLevel="0" collapsed="false">
      <c r="A26" s="166" t="n">
        <v>24</v>
      </c>
      <c r="B26" s="167" t="s">
        <v>159</v>
      </c>
      <c r="C26" s="168" t="s">
        <v>160</v>
      </c>
      <c r="D26" s="167" t="s">
        <v>158</v>
      </c>
      <c r="E26" s="167"/>
    </row>
    <row r="27" customFormat="false" ht="16.5" hidden="false" customHeight="true" outlineLevel="0" collapsed="false">
      <c r="A27" s="169" t="n">
        <v>25</v>
      </c>
      <c r="B27" s="170" t="s">
        <v>170</v>
      </c>
      <c r="C27" s="171" t="s">
        <v>171</v>
      </c>
      <c r="D27" s="170" t="s">
        <v>169</v>
      </c>
      <c r="E27" s="170"/>
    </row>
    <row r="28" customFormat="false" ht="16.5" hidden="false" customHeight="true" outlineLevel="0" collapsed="false">
      <c r="A28" s="172" t="n">
        <v>26</v>
      </c>
      <c r="B28" s="173" t="s">
        <v>173</v>
      </c>
      <c r="C28" s="174" t="s">
        <v>174</v>
      </c>
      <c r="D28" s="173" t="s">
        <v>172</v>
      </c>
      <c r="E28" s="173"/>
    </row>
    <row r="29" customFormat="false" ht="16.5" hidden="false" customHeight="true" outlineLevel="0" collapsed="false">
      <c r="A29" s="175" t="n">
        <v>27</v>
      </c>
      <c r="B29" s="176" t="s">
        <v>26</v>
      </c>
      <c r="C29" s="177" t="s">
        <v>25</v>
      </c>
      <c r="D29" s="176" t="s">
        <v>23</v>
      </c>
      <c r="E29" s="176"/>
    </row>
    <row r="30" customFormat="false" ht="16.5" hidden="false" customHeight="true" outlineLevel="0" collapsed="false">
      <c r="A30" s="178" t="n">
        <v>28</v>
      </c>
      <c r="B30" s="179" t="s">
        <v>139</v>
      </c>
      <c r="C30" s="180"/>
      <c r="D30" s="179" t="s">
        <v>138</v>
      </c>
      <c r="E30" s="179"/>
    </row>
    <row r="31" customFormat="false" ht="15.75" hidden="false" customHeight="true" outlineLevel="0" collapsed="false">
      <c r="B31" s="20" t="s">
        <v>184</v>
      </c>
      <c r="C31" s="20" t="n">
        <v>2518185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26" min="10" style="0" width="8.71"/>
  </cols>
  <sheetData>
    <row r="1" customFormat="false" ht="27.75" hidden="false" customHeight="true" outlineLevel="0" collapsed="false">
      <c r="A1" s="95" t="s">
        <v>198</v>
      </c>
      <c r="B1" s="95"/>
      <c r="C1" s="95"/>
      <c r="D1" s="95"/>
      <c r="E1" s="95"/>
      <c r="F1" s="95"/>
      <c r="G1" s="95"/>
      <c r="H1" s="95"/>
    </row>
    <row r="2" customFormat="false" ht="34.5" hidden="false" customHeight="true" outlineLevel="0" collapsed="false">
      <c r="A2" s="181" t="s">
        <v>1</v>
      </c>
      <c r="B2" s="181" t="s">
        <v>199</v>
      </c>
      <c r="C2" s="181" t="s">
        <v>200</v>
      </c>
      <c r="D2" s="181" t="s">
        <v>201</v>
      </c>
      <c r="E2" s="181" t="s">
        <v>202</v>
      </c>
      <c r="F2" s="181" t="s">
        <v>203</v>
      </c>
      <c r="G2" s="181" t="s">
        <v>204</v>
      </c>
      <c r="H2" s="181" t="s">
        <v>205</v>
      </c>
      <c r="I2" s="181" t="s">
        <v>206</v>
      </c>
    </row>
    <row r="3" customFormat="false" ht="18" hidden="false" customHeight="true" outlineLevel="0" collapsed="false">
      <c r="A3" s="182" t="n">
        <v>2022</v>
      </c>
      <c r="B3" s="182" t="n">
        <v>0</v>
      </c>
      <c r="C3" s="182" t="n">
        <v>0</v>
      </c>
      <c r="D3" s="182" t="n">
        <v>0</v>
      </c>
      <c r="E3" s="182" t="n">
        <v>932</v>
      </c>
      <c r="F3" s="182" t="n">
        <v>32</v>
      </c>
      <c r="G3" s="182" t="n">
        <v>885</v>
      </c>
      <c r="H3" s="182" t="n">
        <v>0</v>
      </c>
      <c r="I3" s="183" t="n">
        <v>1849</v>
      </c>
    </row>
    <row r="4" customFormat="false" ht="18" hidden="false" customHeight="true" outlineLevel="0" collapsed="false">
      <c r="A4" s="105" t="n">
        <v>2023</v>
      </c>
      <c r="B4" s="105" t="n">
        <v>748</v>
      </c>
      <c r="C4" s="105" t="n">
        <v>769</v>
      </c>
      <c r="D4" s="105" t="n">
        <v>420</v>
      </c>
      <c r="E4" s="105" t="n">
        <v>1645</v>
      </c>
      <c r="F4" s="105" t="n">
        <v>239</v>
      </c>
      <c r="G4" s="105" t="n">
        <v>3441</v>
      </c>
      <c r="H4" s="105" t="n">
        <v>0</v>
      </c>
      <c r="I4" s="103" t="n">
        <v>7262</v>
      </c>
    </row>
    <row r="5" customFormat="false" ht="18" hidden="false" customHeight="true" outlineLevel="0" collapsed="false">
      <c r="A5" s="99" t="n">
        <v>2024</v>
      </c>
      <c r="B5" s="99" t="n">
        <v>2472</v>
      </c>
      <c r="C5" s="99" t="n">
        <v>2419</v>
      </c>
      <c r="D5" s="99" t="n">
        <v>737</v>
      </c>
      <c r="E5" s="99" t="n">
        <v>1728</v>
      </c>
      <c r="F5" s="99" t="n">
        <v>277</v>
      </c>
      <c r="G5" s="99" t="n">
        <v>3015</v>
      </c>
      <c r="H5" s="99" t="n">
        <v>666</v>
      </c>
      <c r="I5" s="97" t="n">
        <v>11314</v>
      </c>
    </row>
    <row r="6" customFormat="false" ht="18" hidden="false" customHeight="true" outlineLevel="0" collapsed="false">
      <c r="A6" s="108" t="n">
        <v>2025</v>
      </c>
      <c r="B6" s="108" t="n">
        <v>1999</v>
      </c>
      <c r="C6" s="108" t="n">
        <v>1438</v>
      </c>
      <c r="D6" s="108" t="n">
        <v>602</v>
      </c>
      <c r="E6" s="108" t="n">
        <v>1829</v>
      </c>
      <c r="F6" s="108" t="n">
        <v>294</v>
      </c>
      <c r="G6" s="108" t="n">
        <v>2504</v>
      </c>
      <c r="H6" s="108" t="n">
        <v>539</v>
      </c>
      <c r="I6" s="106" t="n">
        <v>9205</v>
      </c>
    </row>
    <row r="7" customFormat="false" ht="18" hidden="false" customHeight="true" outlineLevel="0" collapsed="false">
      <c r="A7" s="111" t="n">
        <v>2026</v>
      </c>
      <c r="B7" s="111" t="n">
        <v>229</v>
      </c>
      <c r="C7" s="111" t="n">
        <v>277</v>
      </c>
      <c r="D7" s="111" t="n">
        <v>131</v>
      </c>
      <c r="E7" s="111" t="n">
        <v>538</v>
      </c>
      <c r="F7" s="111" t="n">
        <v>34</v>
      </c>
      <c r="G7" s="111" t="n">
        <v>552</v>
      </c>
      <c r="H7" s="111" t="n">
        <v>180</v>
      </c>
      <c r="I7" s="109" t="n">
        <v>1941</v>
      </c>
    </row>
    <row r="8" customFormat="false" ht="19.5" hidden="false" customHeight="true" outlineLevel="0" collapsed="false">
      <c r="A8" s="184" t="s">
        <v>206</v>
      </c>
      <c r="B8" s="184" t="n">
        <f aca="false">SUM(B3:B7)</f>
        <v>5448</v>
      </c>
      <c r="C8" s="184" t="n">
        <f aca="false">SUM(C3:C7)</f>
        <v>4903</v>
      </c>
      <c r="D8" s="184" t="n">
        <f aca="false">SUM(D3:D7)</f>
        <v>1890</v>
      </c>
      <c r="E8" s="184" t="n">
        <f aca="false">SUM(E3:E7)</f>
        <v>6672</v>
      </c>
      <c r="F8" s="184" t="n">
        <f aca="false">SUM(F3:F7)</f>
        <v>876</v>
      </c>
      <c r="G8" s="184" t="n">
        <f aca="false">SUM(G3:G7)</f>
        <v>10397</v>
      </c>
      <c r="H8" s="184" t="n">
        <f aca="false">SUM(H3:H7)</f>
        <v>1385</v>
      </c>
      <c r="I8" s="184" t="n">
        <f aca="false">SUM(I3:I7)</f>
        <v>31571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1.29"/>
    <col collapsed="false" customWidth="true" hidden="false" outlineLevel="0" max="2" min="2" style="0" width="22.15"/>
    <col collapsed="false" customWidth="true" hidden="false" outlineLevel="0" max="3" min="3" style="0" width="21.85"/>
  </cols>
  <sheetData>
    <row r="1" customFormat="false" ht="15" hidden="false" customHeight="false" outlineLevel="0" collapsed="false">
      <c r="A1" s="185" t="s">
        <v>6</v>
      </c>
      <c r="B1" s="185" t="s">
        <v>207</v>
      </c>
      <c r="C1" s="185" t="s">
        <v>208</v>
      </c>
    </row>
    <row r="2" customFormat="false" ht="15" hidden="false" customHeight="false" outlineLevel="0" collapsed="false">
      <c r="A2" s="186" t="s">
        <v>22</v>
      </c>
      <c r="B2" s="187" t="n">
        <v>0</v>
      </c>
      <c r="C2" s="187" t="n">
        <v>0</v>
      </c>
    </row>
    <row r="3" customFormat="false" ht="15" hidden="false" customHeight="false" outlineLevel="0" collapsed="false">
      <c r="A3" s="186" t="s">
        <v>18</v>
      </c>
      <c r="B3" s="187" t="n">
        <v>40</v>
      </c>
      <c r="C3" s="187" t="n">
        <v>80</v>
      </c>
    </row>
    <row r="4" customFormat="false" ht="15" hidden="false" customHeight="false" outlineLevel="0" collapsed="false">
      <c r="A4" s="186" t="s">
        <v>26</v>
      </c>
      <c r="B4" s="187" t="n">
        <v>280</v>
      </c>
      <c r="C4" s="187" t="n">
        <v>560</v>
      </c>
    </row>
    <row r="5" customFormat="false" ht="15" hidden="false" customHeight="false" outlineLevel="0" collapsed="false">
      <c r="A5" s="186" t="s">
        <v>209</v>
      </c>
      <c r="B5" s="187" t="n">
        <v>45</v>
      </c>
      <c r="C5" s="187" t="n">
        <v>90</v>
      </c>
    </row>
    <row r="6" customFormat="false" ht="15" hidden="false" customHeight="false" outlineLevel="0" collapsed="false">
      <c r="A6" s="186" t="s">
        <v>40</v>
      </c>
      <c r="B6" s="187" t="n">
        <v>30</v>
      </c>
      <c r="C6" s="187" t="n">
        <v>60</v>
      </c>
    </row>
    <row r="7" customFormat="false" ht="15" hidden="false" customHeight="false" outlineLevel="0" collapsed="false">
      <c r="A7" s="186" t="s">
        <v>210</v>
      </c>
      <c r="B7" s="187" t="n">
        <v>55</v>
      </c>
      <c r="C7" s="187" t="n">
        <v>110</v>
      </c>
    </row>
    <row r="8" customFormat="false" ht="15" hidden="false" customHeight="false" outlineLevel="0" collapsed="false">
      <c r="A8" s="186" t="s">
        <v>48</v>
      </c>
      <c r="B8" s="187" t="n">
        <v>70</v>
      </c>
      <c r="C8" s="187" t="n">
        <v>140</v>
      </c>
    </row>
    <row r="9" customFormat="false" ht="15" hidden="false" customHeight="false" outlineLevel="0" collapsed="false">
      <c r="A9" s="186" t="s">
        <v>51</v>
      </c>
      <c r="B9" s="187" t="n">
        <v>115</v>
      </c>
      <c r="C9" s="187" t="n">
        <v>230</v>
      </c>
    </row>
    <row r="10" customFormat="false" ht="15" hidden="false" customHeight="false" outlineLevel="0" collapsed="false">
      <c r="A10" s="186" t="s">
        <v>57</v>
      </c>
      <c r="B10" s="187" t="n">
        <v>125</v>
      </c>
      <c r="C10" s="187" t="n">
        <v>250</v>
      </c>
    </row>
    <row r="11" customFormat="false" ht="15" hidden="false" customHeight="false" outlineLevel="0" collapsed="false">
      <c r="A11" s="186" t="s">
        <v>63</v>
      </c>
      <c r="B11" s="187" t="n">
        <v>90</v>
      </c>
      <c r="C11" s="187" t="n">
        <v>180</v>
      </c>
    </row>
    <row r="12" customFormat="false" ht="15" hidden="false" customHeight="false" outlineLevel="0" collapsed="false">
      <c r="A12" s="186" t="s">
        <v>72</v>
      </c>
      <c r="B12" s="187" t="n">
        <v>55</v>
      </c>
      <c r="C12" s="187" t="n">
        <v>110</v>
      </c>
    </row>
    <row r="13" customFormat="false" ht="15" hidden="false" customHeight="false" outlineLevel="0" collapsed="false">
      <c r="A13" s="186" t="s">
        <v>79</v>
      </c>
      <c r="B13" s="187" t="n">
        <v>210</v>
      </c>
      <c r="C13" s="187" t="n">
        <v>420</v>
      </c>
    </row>
    <row r="14" customFormat="false" ht="15" hidden="false" customHeight="false" outlineLevel="0" collapsed="false">
      <c r="A14" s="186" t="s">
        <v>86</v>
      </c>
      <c r="B14" s="187" t="n">
        <v>18</v>
      </c>
      <c r="C14" s="187" t="n">
        <v>36</v>
      </c>
    </row>
    <row r="15" customFormat="false" ht="15" hidden="false" customHeight="false" outlineLevel="0" collapsed="false">
      <c r="A15" s="186" t="s">
        <v>96</v>
      </c>
      <c r="B15" s="187" t="n">
        <v>75</v>
      </c>
      <c r="C15" s="187" t="n">
        <v>150</v>
      </c>
    </row>
    <row r="16" customFormat="false" ht="15" hidden="false" customHeight="false" outlineLevel="0" collapsed="false">
      <c r="A16" s="186" t="s">
        <v>104</v>
      </c>
      <c r="B16" s="187" t="n">
        <v>105</v>
      </c>
      <c r="C16" s="187" t="n">
        <v>210</v>
      </c>
    </row>
    <row r="17" customFormat="false" ht="15" hidden="false" customHeight="false" outlineLevel="0" collapsed="false">
      <c r="A17" s="186" t="s">
        <v>110</v>
      </c>
      <c r="B17" s="187" t="n">
        <v>55</v>
      </c>
      <c r="C17" s="187" t="n">
        <v>110</v>
      </c>
    </row>
    <row r="18" customFormat="false" ht="15" hidden="false" customHeight="false" outlineLevel="0" collapsed="false">
      <c r="A18" s="186" t="s">
        <v>124</v>
      </c>
      <c r="B18" s="187" t="n">
        <v>255</v>
      </c>
      <c r="C18" s="187" t="n">
        <v>510</v>
      </c>
    </row>
    <row r="19" customFormat="false" ht="15" hidden="false" customHeight="false" outlineLevel="0" collapsed="false">
      <c r="A19" s="186" t="s">
        <v>130</v>
      </c>
      <c r="B19" s="187" t="n">
        <v>240</v>
      </c>
      <c r="C19" s="187" t="n">
        <v>480</v>
      </c>
    </row>
    <row r="20" customFormat="false" ht="15" hidden="false" customHeight="false" outlineLevel="0" collapsed="false">
      <c r="A20" s="186" t="s">
        <v>136</v>
      </c>
      <c r="B20" s="187" t="n">
        <v>135</v>
      </c>
      <c r="C20" s="187" t="n">
        <v>270</v>
      </c>
    </row>
    <row r="21" customFormat="false" ht="15" hidden="false" customHeight="false" outlineLevel="0" collapsed="false">
      <c r="A21" s="186" t="s">
        <v>139</v>
      </c>
      <c r="B21" s="187" t="n">
        <v>170</v>
      </c>
      <c r="C21" s="187" t="n">
        <v>340</v>
      </c>
    </row>
    <row r="22" customFormat="false" ht="15" hidden="false" customHeight="false" outlineLevel="0" collapsed="false">
      <c r="A22" s="186" t="s">
        <v>149</v>
      </c>
      <c r="B22" s="187" t="n">
        <v>185</v>
      </c>
      <c r="C22" s="187" t="n">
        <v>370</v>
      </c>
    </row>
    <row r="23" customFormat="false" ht="15" hidden="false" customHeight="false" outlineLevel="0" collapsed="false">
      <c r="A23" s="186" t="s">
        <v>152</v>
      </c>
      <c r="B23" s="187" t="n">
        <v>315</v>
      </c>
      <c r="C23" s="187" t="n">
        <v>630</v>
      </c>
    </row>
    <row r="24" customFormat="false" ht="15" hidden="false" customHeight="false" outlineLevel="0" collapsed="false">
      <c r="A24" s="186" t="s">
        <v>156</v>
      </c>
      <c r="B24" s="187" t="n">
        <v>95</v>
      </c>
      <c r="C24" s="187" t="n">
        <v>190</v>
      </c>
    </row>
    <row r="25" customFormat="false" ht="15" hidden="false" customHeight="false" outlineLevel="0" collapsed="false">
      <c r="A25" s="186" t="s">
        <v>159</v>
      </c>
      <c r="B25" s="187" t="n">
        <v>140</v>
      </c>
      <c r="C25" s="187" t="n">
        <v>280</v>
      </c>
    </row>
    <row r="26" customFormat="false" ht="15" hidden="false" customHeight="false" outlineLevel="0" collapsed="false">
      <c r="A26" s="186" t="s">
        <v>165</v>
      </c>
      <c r="B26" s="187" t="n">
        <v>235</v>
      </c>
      <c r="C26" s="187" t="n">
        <v>470</v>
      </c>
    </row>
    <row r="27" customFormat="false" ht="15" hidden="false" customHeight="false" outlineLevel="0" collapsed="false">
      <c r="A27" s="186" t="s">
        <v>170</v>
      </c>
      <c r="B27" s="187" t="n">
        <v>105</v>
      </c>
      <c r="C27" s="187" t="n">
        <v>210</v>
      </c>
    </row>
    <row r="28" customFormat="false" ht="15" hidden="false" customHeight="false" outlineLevel="0" collapsed="false">
      <c r="A28" s="186" t="s">
        <v>173</v>
      </c>
      <c r="B28" s="187" t="n">
        <v>190</v>
      </c>
      <c r="C28" s="187" t="n">
        <v>380</v>
      </c>
    </row>
    <row r="29" customFormat="false" ht="15" hidden="false" customHeight="false" outlineLevel="0" collapsed="false">
      <c r="A29" s="186" t="s">
        <v>179</v>
      </c>
      <c r="B29" s="187" t="n">
        <v>210</v>
      </c>
      <c r="C29" s="187" t="n">
        <v>420</v>
      </c>
    </row>
    <row r="30" customFormat="false" ht="15" hidden="false" customHeight="false" outlineLevel="0" collapsed="false">
      <c r="A30" s="186" t="s">
        <v>184</v>
      </c>
      <c r="B30" s="187" t="n">
        <v>150</v>
      </c>
      <c r="C30" s="187" t="n">
        <v>300</v>
      </c>
    </row>
    <row r="31" customFormat="false" ht="15" hidden="false" customHeight="false" outlineLevel="0" collapsed="false">
      <c r="A31" s="186" t="s">
        <v>191</v>
      </c>
      <c r="B31" s="186"/>
      <c r="C31" s="187" t="n">
        <v>7586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2026-04-10T18:48:46Z</dcterms:created>
  <dc:creator>openpyxl</dc:creator>
  <dc:description/>
  <dc:language>pt-BR</dc:language>
  <cp:lastModifiedBy/>
  <dcterms:modified xsi:type="dcterms:W3CDTF">2026-08-07T13:38:58Z</dcterms:modified>
  <cp:revision>2</cp:revision>
  <dc:subject/>
  <dc:title/>
</cp:coreProperties>
</file>